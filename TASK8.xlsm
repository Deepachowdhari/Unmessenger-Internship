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persons/person1.xml" ContentType="application/vnd.ms-excel.person+xml"/>
  <Override PartName="/xl/persons/person4.xml" ContentType="application/vnd.ms-excel.person+xml"/>
  <Override PartName="/xl/persons/person0.xml" ContentType="application/vnd.ms-excel.person+xml"/>
  <Override PartName="/xl/persons/person3.xml" ContentType="application/vnd.ms-excel.person+xml"/>
  <Override PartName="/xl/persons/person2.xml" ContentType="application/vnd.ms-excel.person+xml"/>
  <Override PartName="/xl/persons/person5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fcf282e3520a21a/Desktop/"/>
    </mc:Choice>
  </mc:AlternateContent>
  <xr:revisionPtr revIDLastSave="9" documentId="8_{0EFF9E11-6638-4C41-9D32-1A2651AD3877}" xr6:coauthVersionLast="47" xr6:coauthVersionMax="47" xr10:uidLastSave="{D4CE416F-B297-4DBC-88E6-4F7329A496C1}"/>
  <bookViews>
    <workbookView xWindow="-108" yWindow="-108" windowWidth="23256" windowHeight="12456" firstSheet="4" activeTab="8" xr2:uid="{00000000-000D-0000-FFFF-FFFF00000000}"/>
  </bookViews>
  <sheets>
    <sheet name="Unmessenger" sheetId="1" r:id="rId1"/>
    <sheet name="1.FillMissingNames (2)" sheetId="16" r:id="rId2"/>
    <sheet name="2.FillAgeWithMean" sheetId="3" r:id="rId3"/>
    <sheet name="3.CleanAndFormatPhone (2)" sheetId="17" r:id="rId4"/>
    <sheet name="4.NameAndEmailMissing" sheetId="8" r:id="rId5"/>
    <sheet name="5.Top10Emp" sheetId="10" r:id="rId6"/>
    <sheet name="6.FillEmail" sheetId="11" r:id="rId7"/>
    <sheet name="7.ProperDepartment" sheetId="14" r:id="rId8"/>
    <sheet name="8.FillAdress" sheetId="15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0" roundtripDataChecksum="2WrwPzVBFsfif2q99uHOlLxATm3svI7SxCkGZSGnM3U="/>
    </ext>
  </extLst>
</workbook>
</file>

<file path=xl/calcChain.xml><?xml version="1.0" encoding="utf-8"?>
<calcChain xmlns="http://schemas.openxmlformats.org/spreadsheetml/2006/main">
  <c r="J2" i="17" l="1"/>
  <c r="J3" i="17"/>
  <c r="J4" i="17"/>
  <c r="J5" i="17"/>
  <c r="B6" i="17"/>
  <c r="J6" i="17"/>
  <c r="J7" i="17"/>
  <c r="J8" i="17"/>
  <c r="G9" i="17"/>
  <c r="J9" i="17"/>
  <c r="G10" i="17"/>
  <c r="J10" i="17"/>
  <c r="J11" i="17"/>
  <c r="G12" i="17"/>
  <c r="J12" i="17"/>
  <c r="G13" i="17"/>
  <c r="J13" i="17"/>
  <c r="G14" i="17"/>
  <c r="J14" i="17"/>
  <c r="J15" i="17"/>
  <c r="G16" i="17"/>
  <c r="J16" i="17"/>
  <c r="G17" i="17"/>
  <c r="J17" i="17"/>
  <c r="G18" i="17"/>
  <c r="J18" i="17" s="1"/>
  <c r="G19" i="17"/>
  <c r="J19" i="17" s="1"/>
  <c r="G20" i="17"/>
  <c r="J20" i="17"/>
  <c r="G21" i="17"/>
  <c r="J21" i="17"/>
  <c r="J22" i="17"/>
  <c r="G23" i="17"/>
  <c r="J23" i="17"/>
  <c r="G24" i="17"/>
  <c r="J24" i="17"/>
  <c r="J25" i="17"/>
  <c r="G26" i="17"/>
  <c r="J26" i="17" s="1"/>
  <c r="J27" i="17"/>
  <c r="G28" i="17"/>
  <c r="J28" i="17"/>
  <c r="G29" i="17"/>
  <c r="J29" i="17"/>
  <c r="G30" i="17"/>
  <c r="J30" i="17"/>
  <c r="J31" i="17"/>
  <c r="G32" i="17"/>
  <c r="J32" i="17" s="1"/>
  <c r="J33" i="17"/>
  <c r="G34" i="17"/>
  <c r="J34" i="17"/>
  <c r="J35" i="17"/>
  <c r="G36" i="17"/>
  <c r="J36" i="17"/>
  <c r="G37" i="17"/>
  <c r="J37" i="17"/>
  <c r="J38" i="17"/>
  <c r="G39" i="17"/>
  <c r="J39" i="17"/>
  <c r="G40" i="17"/>
  <c r="J40" i="17"/>
  <c r="J41" i="17"/>
  <c r="G42" i="17"/>
  <c r="J42" i="17"/>
  <c r="J43" i="17"/>
  <c r="G44" i="17"/>
  <c r="J44" i="17"/>
  <c r="J45" i="17"/>
  <c r="G46" i="17"/>
  <c r="J46" i="17"/>
  <c r="G47" i="17"/>
  <c r="J47" i="17" s="1"/>
  <c r="J48" i="17"/>
  <c r="G49" i="17"/>
  <c r="J49" i="17"/>
  <c r="G50" i="17"/>
  <c r="J50" i="17"/>
  <c r="J51" i="17"/>
  <c r="J2" i="3"/>
  <c r="J3" i="3"/>
  <c r="J4" i="3"/>
  <c r="J5" i="3"/>
  <c r="J6" i="3"/>
  <c r="J7" i="3"/>
  <c r="J8" i="3"/>
  <c r="J9" i="3"/>
  <c r="J10" i="3"/>
  <c r="J11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7" i="3"/>
  <c r="J28" i="3"/>
  <c r="J29" i="3"/>
  <c r="J30" i="3"/>
  <c r="J31" i="3"/>
  <c r="J32" i="3"/>
  <c r="J33" i="3"/>
  <c r="J34" i="3"/>
  <c r="J35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1" i="3"/>
  <c r="C12" i="3"/>
  <c r="J26" i="3" s="1"/>
  <c r="C13" i="3"/>
  <c r="J2" i="16"/>
  <c r="J3" i="16"/>
  <c r="J4" i="16"/>
  <c r="J5" i="16"/>
  <c r="B6" i="16"/>
  <c r="J6" i="16"/>
  <c r="J7" i="16"/>
  <c r="J8" i="16"/>
  <c r="G9" i="16"/>
  <c r="J9" i="16"/>
  <c r="G10" i="16"/>
  <c r="J10" i="16"/>
  <c r="B11" i="16"/>
  <c r="J11" i="16"/>
  <c r="G12" i="16"/>
  <c r="J12" i="16"/>
  <c r="G13" i="16"/>
  <c r="J13" i="16"/>
  <c r="B14" i="16"/>
  <c r="G14" i="16"/>
  <c r="J14" i="16"/>
  <c r="J15" i="16"/>
  <c r="G16" i="16"/>
  <c r="J16" i="16"/>
  <c r="G17" i="16"/>
  <c r="J17" i="16"/>
  <c r="G18" i="16"/>
  <c r="J18" i="16"/>
  <c r="G19" i="16"/>
  <c r="J19" i="16"/>
  <c r="G20" i="16"/>
  <c r="J20" i="16"/>
  <c r="G21" i="16"/>
  <c r="J21" i="16"/>
  <c r="J22" i="16"/>
  <c r="G23" i="16"/>
  <c r="J23" i="16"/>
  <c r="G24" i="16"/>
  <c r="J24" i="16"/>
  <c r="J25" i="16"/>
  <c r="G26" i="16"/>
  <c r="J26" i="16"/>
  <c r="J27" i="16"/>
  <c r="G28" i="16"/>
  <c r="J28" i="16"/>
  <c r="G29" i="16"/>
  <c r="J29" i="16"/>
  <c r="G30" i="16"/>
  <c r="J30" i="16"/>
  <c r="J31" i="16"/>
  <c r="G32" i="16"/>
  <c r="J32" i="16"/>
  <c r="J33" i="16"/>
  <c r="G34" i="16"/>
  <c r="J34" i="16"/>
  <c r="J35" i="16"/>
  <c r="G36" i="16"/>
  <c r="J36" i="16"/>
  <c r="G37" i="16"/>
  <c r="J37" i="16"/>
  <c r="J38" i="16"/>
  <c r="G39" i="16"/>
  <c r="J39" i="16"/>
  <c r="G40" i="16"/>
  <c r="J40" i="16"/>
  <c r="J41" i="16"/>
  <c r="G42" i="16"/>
  <c r="J42" i="16"/>
  <c r="J43" i="16"/>
  <c r="G44" i="16"/>
  <c r="J44" i="16"/>
  <c r="J45" i="16"/>
  <c r="G46" i="16"/>
  <c r="J46" i="16"/>
  <c r="G47" i="16"/>
  <c r="J47" i="16"/>
  <c r="J48" i="16"/>
  <c r="G49" i="16"/>
  <c r="J49" i="16"/>
  <c r="G50" i="16"/>
  <c r="J50" i="16"/>
  <c r="J51" i="16"/>
  <c r="M14" i="15"/>
  <c r="M2" i="15"/>
  <c r="M3" i="15"/>
  <c r="M4" i="15"/>
  <c r="M5" i="15"/>
  <c r="M6" i="15"/>
  <c r="M7" i="15"/>
  <c r="M8" i="15"/>
  <c r="M9" i="15"/>
  <c r="M10" i="15"/>
  <c r="M11" i="15"/>
  <c r="M12" i="15"/>
  <c r="M13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L51" i="15"/>
  <c r="K51" i="15"/>
  <c r="J51" i="15"/>
  <c r="L50" i="15"/>
  <c r="K50" i="15"/>
  <c r="J50" i="15"/>
  <c r="L49" i="15"/>
  <c r="K49" i="15"/>
  <c r="J49" i="15"/>
  <c r="L48" i="15"/>
  <c r="K48" i="15"/>
  <c r="J48" i="15"/>
  <c r="L47" i="15"/>
  <c r="K47" i="15"/>
  <c r="J47" i="15"/>
  <c r="L46" i="15"/>
  <c r="K46" i="15"/>
  <c r="J46" i="15"/>
  <c r="L45" i="15"/>
  <c r="K45" i="15"/>
  <c r="J45" i="15"/>
  <c r="L44" i="15"/>
  <c r="K44" i="15"/>
  <c r="J44" i="15"/>
  <c r="L43" i="15"/>
  <c r="K43" i="15"/>
  <c r="J43" i="15"/>
  <c r="L42" i="15"/>
  <c r="K42" i="15"/>
  <c r="J42" i="15"/>
  <c r="L41" i="15"/>
  <c r="K41" i="15"/>
  <c r="J41" i="15"/>
  <c r="L40" i="15"/>
  <c r="K40" i="15"/>
  <c r="J40" i="15"/>
  <c r="L39" i="15"/>
  <c r="K39" i="15"/>
  <c r="J39" i="15"/>
  <c r="L38" i="15"/>
  <c r="K38" i="15"/>
  <c r="J38" i="15"/>
  <c r="L37" i="15"/>
  <c r="K37" i="15"/>
  <c r="J37" i="15"/>
  <c r="L36" i="15"/>
  <c r="K36" i="15"/>
  <c r="J36" i="15"/>
  <c r="L35" i="15"/>
  <c r="K35" i="15"/>
  <c r="J35" i="15"/>
  <c r="L34" i="15"/>
  <c r="K34" i="15"/>
  <c r="J34" i="15"/>
  <c r="L33" i="15"/>
  <c r="K33" i="15"/>
  <c r="J33" i="15"/>
  <c r="L32" i="15"/>
  <c r="K32" i="15"/>
  <c r="J32" i="15"/>
  <c r="L31" i="15"/>
  <c r="K31" i="15"/>
  <c r="J31" i="15"/>
  <c r="L30" i="15"/>
  <c r="K30" i="15"/>
  <c r="J30" i="15"/>
  <c r="L29" i="15"/>
  <c r="K29" i="15"/>
  <c r="J29" i="15"/>
  <c r="L28" i="15"/>
  <c r="K28" i="15"/>
  <c r="J28" i="15"/>
  <c r="L27" i="15"/>
  <c r="K27" i="15"/>
  <c r="J27" i="15"/>
  <c r="L26" i="15"/>
  <c r="K26" i="15"/>
  <c r="J26" i="15"/>
  <c r="L25" i="15"/>
  <c r="K25" i="15"/>
  <c r="J25" i="15"/>
  <c r="L24" i="15"/>
  <c r="K24" i="15"/>
  <c r="J24" i="15"/>
  <c r="L23" i="15"/>
  <c r="K23" i="15"/>
  <c r="J23" i="15"/>
  <c r="L22" i="15"/>
  <c r="K22" i="15"/>
  <c r="J22" i="15"/>
  <c r="L21" i="15"/>
  <c r="K21" i="15"/>
  <c r="J21" i="15"/>
  <c r="L20" i="15"/>
  <c r="K20" i="15"/>
  <c r="J20" i="15"/>
  <c r="L19" i="15"/>
  <c r="K19" i="15"/>
  <c r="J19" i="15"/>
  <c r="L18" i="15"/>
  <c r="K18" i="15"/>
  <c r="J18" i="15"/>
  <c r="L17" i="15"/>
  <c r="K17" i="15"/>
  <c r="J17" i="15"/>
  <c r="L16" i="15"/>
  <c r="K16" i="15"/>
  <c r="J16" i="15"/>
  <c r="L15" i="15"/>
  <c r="K15" i="15"/>
  <c r="J15" i="15"/>
  <c r="L14" i="15"/>
  <c r="B14" i="15"/>
  <c r="K14" i="15" s="1"/>
  <c r="L13" i="15"/>
  <c r="K13" i="15"/>
  <c r="J13" i="15"/>
  <c r="C13" i="15"/>
  <c r="L12" i="15"/>
  <c r="K12" i="15"/>
  <c r="J12" i="15"/>
  <c r="C12" i="15"/>
  <c r="L11" i="15"/>
  <c r="B11" i="15"/>
  <c r="J11" i="15" s="1"/>
  <c r="L10" i="15"/>
  <c r="K10" i="15"/>
  <c r="J10" i="15"/>
  <c r="L9" i="15"/>
  <c r="K9" i="15"/>
  <c r="J9" i="15"/>
  <c r="L8" i="15"/>
  <c r="K8" i="15"/>
  <c r="J8" i="15"/>
  <c r="L7" i="15"/>
  <c r="K7" i="15"/>
  <c r="J7" i="15"/>
  <c r="L6" i="15"/>
  <c r="B6" i="15"/>
  <c r="K6" i="15" s="1"/>
  <c r="L5" i="15"/>
  <c r="K5" i="15"/>
  <c r="J5" i="15"/>
  <c r="L4" i="15"/>
  <c r="K4" i="15"/>
  <c r="J4" i="15"/>
  <c r="L3" i="15"/>
  <c r="K3" i="15"/>
  <c r="J3" i="15"/>
  <c r="L2" i="15"/>
  <c r="K2" i="15"/>
  <c r="J2" i="15"/>
  <c r="L2" i="14"/>
  <c r="L3" i="14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K51" i="14"/>
  <c r="J51" i="14"/>
  <c r="K50" i="14"/>
  <c r="J50" i="14"/>
  <c r="K49" i="14"/>
  <c r="J49" i="14"/>
  <c r="K48" i="14"/>
  <c r="J48" i="14"/>
  <c r="K47" i="14"/>
  <c r="J47" i="14"/>
  <c r="K46" i="14"/>
  <c r="J46" i="14"/>
  <c r="K45" i="14"/>
  <c r="J45" i="14"/>
  <c r="K44" i="14"/>
  <c r="J44" i="14"/>
  <c r="K43" i="14"/>
  <c r="J43" i="14"/>
  <c r="K42" i="14"/>
  <c r="J42" i="14"/>
  <c r="K41" i="14"/>
  <c r="J41" i="14"/>
  <c r="K40" i="14"/>
  <c r="J40" i="14"/>
  <c r="K39" i="14"/>
  <c r="J39" i="14"/>
  <c r="K38" i="14"/>
  <c r="J38" i="14"/>
  <c r="K37" i="14"/>
  <c r="J37" i="14"/>
  <c r="K36" i="14"/>
  <c r="J36" i="14"/>
  <c r="K35" i="14"/>
  <c r="J35" i="14"/>
  <c r="K34" i="14"/>
  <c r="J34" i="14"/>
  <c r="K33" i="14"/>
  <c r="J33" i="14"/>
  <c r="K32" i="14"/>
  <c r="J32" i="14"/>
  <c r="K31" i="14"/>
  <c r="J31" i="14"/>
  <c r="K30" i="14"/>
  <c r="J30" i="14"/>
  <c r="K29" i="14"/>
  <c r="J29" i="14"/>
  <c r="K28" i="14"/>
  <c r="J28" i="14"/>
  <c r="K27" i="14"/>
  <c r="J27" i="14"/>
  <c r="K26" i="14"/>
  <c r="J26" i="14"/>
  <c r="K25" i="14"/>
  <c r="J25" i="14"/>
  <c r="K24" i="14"/>
  <c r="J24" i="14"/>
  <c r="K23" i="14"/>
  <c r="J23" i="14"/>
  <c r="K22" i="14"/>
  <c r="J22" i="14"/>
  <c r="K21" i="14"/>
  <c r="J21" i="14"/>
  <c r="K20" i="14"/>
  <c r="J20" i="14"/>
  <c r="K19" i="14"/>
  <c r="J19" i="14"/>
  <c r="K18" i="14"/>
  <c r="J18" i="14"/>
  <c r="K17" i="14"/>
  <c r="J17" i="14"/>
  <c r="K16" i="14"/>
  <c r="J16" i="14"/>
  <c r="K15" i="14"/>
  <c r="J15" i="14"/>
  <c r="B14" i="14"/>
  <c r="K14" i="14" s="1"/>
  <c r="K13" i="14"/>
  <c r="J13" i="14"/>
  <c r="C13" i="14"/>
  <c r="K12" i="14"/>
  <c r="J12" i="14"/>
  <c r="C12" i="14"/>
  <c r="B11" i="14"/>
  <c r="K11" i="14" s="1"/>
  <c r="K10" i="14"/>
  <c r="J10" i="14"/>
  <c r="K9" i="14"/>
  <c r="J9" i="14"/>
  <c r="K8" i="14"/>
  <c r="J8" i="14"/>
  <c r="K7" i="14"/>
  <c r="J7" i="14"/>
  <c r="K6" i="14"/>
  <c r="B6" i="14"/>
  <c r="J6" i="14" s="1"/>
  <c r="K5" i="14"/>
  <c r="J5" i="14"/>
  <c r="K4" i="14"/>
  <c r="J4" i="14"/>
  <c r="K3" i="14"/>
  <c r="J3" i="14"/>
  <c r="K2" i="14"/>
  <c r="J2" i="14"/>
  <c r="K2" i="1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C13" i="11"/>
  <c r="C12" i="11"/>
  <c r="J8" i="11"/>
  <c r="J2" i="11"/>
  <c r="J3" i="11"/>
  <c r="J4" i="11"/>
  <c r="J7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B14" i="11"/>
  <c r="J14" i="11" s="1"/>
  <c r="J13" i="11"/>
  <c r="J12" i="11"/>
  <c r="B11" i="11"/>
  <c r="J11" i="11" s="1"/>
  <c r="J10" i="11"/>
  <c r="J9" i="11"/>
  <c r="B6" i="11"/>
  <c r="J6" i="11" s="1"/>
  <c r="J5" i="11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B14" i="10"/>
  <c r="J13" i="10"/>
  <c r="C13" i="10"/>
  <c r="J12" i="10"/>
  <c r="C12" i="10"/>
  <c r="J11" i="10"/>
  <c r="B11" i="10"/>
  <c r="J10" i="10"/>
  <c r="J9" i="10"/>
  <c r="J8" i="10"/>
  <c r="J7" i="10"/>
  <c r="J6" i="10"/>
  <c r="B6" i="10"/>
  <c r="J5" i="10"/>
  <c r="J4" i="10"/>
  <c r="J3" i="10"/>
  <c r="J2" i="10"/>
  <c r="J2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B6" i="8"/>
  <c r="B11" i="8"/>
  <c r="B14" i="8"/>
  <c r="C13" i="8"/>
  <c r="C12" i="8"/>
  <c r="G50" i="3"/>
  <c r="G49" i="3"/>
  <c r="G47" i="3"/>
  <c r="G46" i="3"/>
  <c r="G44" i="3"/>
  <c r="G42" i="3"/>
  <c r="G40" i="3"/>
  <c r="G39" i="3"/>
  <c r="G37" i="3"/>
  <c r="G36" i="3"/>
  <c r="G34" i="3"/>
  <c r="G32" i="3"/>
  <c r="G30" i="3"/>
  <c r="G29" i="3"/>
  <c r="G28" i="3"/>
  <c r="G26" i="3"/>
  <c r="G24" i="3"/>
  <c r="G23" i="3"/>
  <c r="G21" i="3"/>
  <c r="G20" i="3"/>
  <c r="G19" i="3"/>
  <c r="G18" i="3"/>
  <c r="G17" i="3"/>
  <c r="G16" i="3"/>
  <c r="G14" i="3"/>
  <c r="B14" i="3"/>
  <c r="G13" i="3"/>
  <c r="G12" i="3"/>
  <c r="B11" i="3"/>
  <c r="G10" i="3"/>
  <c r="G9" i="3"/>
  <c r="B6" i="3"/>
  <c r="F12" i="1"/>
  <c r="K56" i="1"/>
  <c r="K55" i="1"/>
  <c r="K53" i="1"/>
  <c r="K52" i="1"/>
  <c r="K50" i="1"/>
  <c r="K48" i="1"/>
  <c r="K46" i="1"/>
  <c r="K45" i="1"/>
  <c r="K43" i="1"/>
  <c r="K42" i="1"/>
  <c r="K40" i="1"/>
  <c r="K38" i="1"/>
  <c r="K36" i="1"/>
  <c r="K35" i="1"/>
  <c r="K34" i="1"/>
  <c r="K32" i="1"/>
  <c r="K30" i="1"/>
  <c r="K29" i="1"/>
  <c r="K27" i="1"/>
  <c r="K26" i="1"/>
  <c r="K25" i="1"/>
  <c r="K24" i="1"/>
  <c r="K23" i="1"/>
  <c r="K22" i="1"/>
  <c r="K20" i="1"/>
  <c r="K19" i="1"/>
  <c r="K18" i="1"/>
  <c r="K16" i="1"/>
  <c r="K15" i="1"/>
  <c r="J36" i="3" l="1"/>
  <c r="J12" i="3"/>
  <c r="J50" i="3"/>
  <c r="K11" i="15"/>
  <c r="J6" i="15"/>
  <c r="J14" i="15"/>
  <c r="J11" i="14"/>
  <c r="J14" i="14"/>
</calcChain>
</file>

<file path=xl/sharedStrings.xml><?xml version="1.0" encoding="utf-8"?>
<sst xmlns="http://schemas.openxmlformats.org/spreadsheetml/2006/main" count="2414" uniqueCount="211">
  <si>
    <t>Id</t>
  </si>
  <si>
    <t>Name</t>
  </si>
  <si>
    <t>Age</t>
  </si>
  <si>
    <t>Gender</t>
  </si>
  <si>
    <t>Department</t>
  </si>
  <si>
    <t>Email</t>
  </si>
  <si>
    <t>Phone</t>
  </si>
  <si>
    <t>Address</t>
  </si>
  <si>
    <t>Salary</t>
  </si>
  <si>
    <t>John Doe</t>
  </si>
  <si>
    <t>M</t>
  </si>
  <si>
    <t>Operations</t>
  </si>
  <si>
    <t>john.doe@gmail.com</t>
  </si>
  <si>
    <t>91-1234567890</t>
  </si>
  <si>
    <t>123 Main St, Bangalore, Karnataka, India</t>
  </si>
  <si>
    <t>Jane Smith</t>
  </si>
  <si>
    <t>F</t>
  </si>
  <si>
    <t>IT Department</t>
  </si>
  <si>
    <t>jane.smith@hotmail.com</t>
  </si>
  <si>
    <t>91-9876543210</t>
  </si>
  <si>
    <t>456 Park Ave, Mumbai, Maharashtra, India</t>
  </si>
  <si>
    <t>Amit Patel</t>
  </si>
  <si>
    <t>IT DeVlopemENT</t>
  </si>
  <si>
    <t>amit.patel@gmail.com</t>
  </si>
  <si>
    <t>91-8765432109</t>
  </si>
  <si>
    <t>789 3rd St, Kolkata, West Bengal, India</t>
  </si>
  <si>
    <t>Priya Sharma</t>
  </si>
  <si>
    <t>SALES</t>
  </si>
  <si>
    <t>priya.sharma@yahoo.com</t>
  </si>
  <si>
    <t>91-5555555555</t>
  </si>
  <si>
    <t>12 4th St, New Delhi, Delhi, India</t>
  </si>
  <si>
    <t>SLES</t>
  </si>
  <si>
    <t>jane.doe@gmail.com</t>
  </si>
  <si>
    <t>Rakesh Kumar</t>
  </si>
  <si>
    <t>DaTa SciENce</t>
  </si>
  <si>
    <t>rakesh.kumar@yahoo.com</t>
  </si>
  <si>
    <t>345 5th St, Jaipur, Rajasthan, India</t>
  </si>
  <si>
    <t>Divya Singh</t>
  </si>
  <si>
    <t>91-9999999999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</si>
  <si>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</si>
  <si>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</si>
  <si>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</si>
  <si>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</si>
  <si>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</si>
  <si>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</si>
  <si>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</si>
  <si>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</si>
  <si>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</si>
  <si>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</si>
  <si>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</si>
  <si>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</si>
  <si>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</si>
  <si>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</si>
  <si>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Sales</t>
  </si>
  <si>
    <t>321 11th St, Mumbai, Maharashtra, India</t>
  </si>
  <si>
    <t>Swati Singh</t>
  </si>
  <si>
    <t>HR</t>
  </si>
  <si>
    <t>swati.singh@gmail.com</t>
  </si>
  <si>
    <t>654 12th St, Kolkata, West Bengal, India</t>
  </si>
  <si>
    <t>Finance/Accounts</t>
  </si>
  <si>
    <t>kavita.sharma@yahoo.com</t>
  </si>
  <si>
    <t>Manish Patel</t>
  </si>
  <si>
    <t>Mangement</t>
  </si>
  <si>
    <t>manish.patel@hotmail.com</t>
  </si>
  <si>
    <t>987 13th St, New Delhi, Delhi, India</t>
  </si>
  <si>
    <t>Priyanka Jain</t>
  </si>
  <si>
    <t>Data Science</t>
  </si>
  <si>
    <t>priyanka.jain@yahoo.com</t>
  </si>
  <si>
    <t>Rohit Sharma</t>
  </si>
  <si>
    <t>rohit.sharma@gmail.com</t>
  </si>
  <si>
    <t>654 14th St, Jaipur, Rajasthan, India</t>
  </si>
  <si>
    <t>Deepika Singh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</si>
  <si>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</si>
  <si>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</si>
  <si>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</si>
  <si>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</si>
  <si>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</si>
  <si>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</si>
  <si>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</si>
  <si>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</si>
  <si>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</si>
  <si>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234 18th St, Ahmedabad, Gujarat, India</t>
  </si>
  <si>
    <t>Sanjay Gupta</t>
  </si>
  <si>
    <t>sanjay.gupta@gmail.com</t>
  </si>
  <si>
    <t>91-6666666666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</si>
  <si>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</si>
  <si>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</si>
  <si>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</si>
  <si>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</si>
  <si>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</si>
  <si>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</si>
  <si>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</si>
  <si>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</si>
  <si>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</si>
  <si>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</si>
  <si>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</si>
  <si>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</si>
  <si>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</si>
  <si>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</si>
  <si>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</si>
  <si>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</si>
  <si>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</si>
  <si>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</si>
  <si>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</si>
  <si>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</si>
  <si>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</si>
  <si>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</si>
  <si>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</si>
  <si>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</si>
  <si>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</si>
  <si>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</si>
  <si>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</si>
  <si>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</si>
  <si>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</si>
  <si>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</si>
  <si>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</si>
  <si>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</si>
  <si>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</si>
  <si>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</si>
  <si>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</si>
  <si>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hR</t>
  </si>
  <si>
    <t>mohit.verma@yahoo.com</t>
  </si>
  <si>
    <t>789 31st St, Mumbai, Maharashtra, India</t>
  </si>
  <si>
    <t>Kavita Singh</t>
  </si>
  <si>
    <t>Hr</t>
  </si>
  <si>
    <t>kavita.singh@hotmail.com</t>
  </si>
  <si>
    <t>901 32nd St, Kolkata, West Bengal, India</t>
  </si>
  <si>
    <t>Ankit Patel</t>
  </si>
  <si>
    <t>OperarYION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</si>
  <si>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</si>
  <si>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</si>
  <si>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</si>
  <si>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</si>
  <si>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</si>
  <si>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</si>
  <si>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</si>
  <si>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</si>
  <si>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</si>
  <si>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</si>
  <si>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</si>
  <si>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</si>
  <si>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</si>
  <si>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</si>
  <si>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</si>
  <si>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</si>
  <si>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</si>
  <si>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</si>
  <si>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</si>
  <si>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</si>
  <si>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</si>
  <si>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</si>
  <si>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</si>
  <si>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</si>
  <si>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</si>
  <si>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</si>
  <si>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</si>
  <si>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</si>
  <si>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</si>
  <si>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91-1234567891</t>
  </si>
  <si>
    <t>91-1234567892</t>
  </si>
  <si>
    <t>91-1234567893</t>
  </si>
  <si>
    <t>91-1234567894</t>
  </si>
  <si>
    <t>91-1234567895</t>
  </si>
  <si>
    <t>91-1234567896</t>
  </si>
  <si>
    <t>91-1234567897</t>
  </si>
  <si>
    <t>91-1234567898</t>
  </si>
  <si>
    <t>91-1234567899</t>
  </si>
  <si>
    <t>91-1234567900</t>
  </si>
  <si>
    <t>91-1234567901</t>
  </si>
  <si>
    <t>91-1234567902</t>
  </si>
  <si>
    <t>91-1234567903</t>
  </si>
  <si>
    <t>91-1234567904</t>
  </si>
  <si>
    <t>91-1234567905</t>
  </si>
  <si>
    <t>91-1234567906</t>
  </si>
  <si>
    <t>91-1234567907</t>
  </si>
  <si>
    <t>91-1234567908</t>
  </si>
  <si>
    <t>91-1234567909</t>
  </si>
  <si>
    <t>91-1234567910</t>
  </si>
  <si>
    <t>91-1234567911</t>
  </si>
  <si>
    <t>91-1234567912</t>
  </si>
  <si>
    <t>91-1234567913</t>
  </si>
  <si>
    <t>91-1234567914</t>
  </si>
  <si>
    <t>91-1234567915</t>
  </si>
  <si>
    <t>91-1234567916</t>
  </si>
  <si>
    <t>91-1234567917</t>
  </si>
  <si>
    <t>91-1234567918</t>
  </si>
  <si>
    <t>91-1234567919</t>
  </si>
  <si>
    <t>91-1234567920</t>
  </si>
  <si>
    <t>91-1234567921</t>
  </si>
  <si>
    <t>91-1234567922</t>
  </si>
  <si>
    <t>91-1234567923</t>
  </si>
  <si>
    <t>91-1234567924</t>
  </si>
  <si>
    <t>91-1234567925</t>
  </si>
  <si>
    <t>91-1234567926</t>
  </si>
  <si>
    <t>91-1234567927</t>
  </si>
  <si>
    <t>91-1234567928</t>
  </si>
  <si>
    <t>91-1234567929</t>
  </si>
  <si>
    <t>91-1234567930</t>
  </si>
  <si>
    <t>91-1234567931</t>
  </si>
  <si>
    <t>91-1234567932</t>
  </si>
  <si>
    <t>91-1234567933</t>
  </si>
  <si>
    <t>91-1234567934</t>
  </si>
  <si>
    <t>91-1234567935</t>
  </si>
  <si>
    <t>91-1234567936</t>
  </si>
  <si>
    <t>91-1234567937</t>
  </si>
  <si>
    <t>91-1234567938</t>
  </si>
  <si>
    <t>91-1234567939</t>
  </si>
  <si>
    <t>Column1</t>
  </si>
  <si>
    <t>Column2</t>
  </si>
  <si>
    <t>Column3</t>
  </si>
  <si>
    <t>Column4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</si>
</sst>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</font>
    <font>
      <sz val="11"/>
      <color theme="1"/>
      <name val="Calibri"/>
    </font>
    <font>
      <sz val="8"/>
      <name val="Calibri"/>
      <scheme val="minor"/>
    </font>
    <font>
      <sz val="8"/>
      <name val="Calibri"/>
      <family val="2"/>
      <scheme val="minor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1"/>
    <xf numFmtId="0" fontId="6" fillId="0" borderId="1"/>
  </cellStyleXfs>
  <cellXfs count="9">
    <xf numFmtId="0" fontId="0" fillId="0" borderId="0" xfId="0"/>
    <xf numFmtId="0" fontId="2" fillId="2" borderId="1" xfId="0" applyFont="1" applyFill="1" applyBorder="1"/>
    <xf numFmtId="0" fontId="3" fillId="0" borderId="0" xfId="0" applyFont="1"/>
    <xf numFmtId="0" fontId="1" fillId="0" borderId="1" xfId="1"/>
    <xf numFmtId="0" fontId="3" fillId="0" borderId="1" xfId="1" applyFont="1"/>
    <xf numFmtId="0" fontId="2" fillId="2" borderId="1" xfId="1" applyFont="1" applyFill="1"/>
    <xf numFmtId="0" fontId="6" fillId="0" borderId="1" xfId="2"/>
    <xf numFmtId="0" fontId="3" fillId="0" borderId="1" xfId="2" applyFont="1"/>
    <xf numFmtId="0" fontId="2" fillId="2" borderId="1" xfId="2" applyFont="1" applyFill="1"/>
  </cellXfs>
  <cellStyles count="3">
    <cellStyle name="Normal" xfId="0" builtinId="0"/>
    <cellStyle name="Normal 2" xfId="1" xr:uid="{BE3F481F-3C17-48B7-864F-7D0019B600F0}"/>
    <cellStyle name="Normal 3" xfId="2" xr:uid="{1C0FFF6C-A1EB-46DA-BFB9-3D9CD9D9E5E6}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5"/>
      </font>
    </dxf>
    <dxf>
      <numFmt numFmtId="0" formatCode="General"/>
    </dxf>
    <dxf>
      <numFmt numFmtId="0" formatCode="General"/>
    </dxf>
    <dxf>
      <numFmt numFmtId="0" formatCode="General"/>
    </dxf>
    <dxf>
      <font>
        <color theme="5"/>
      </font>
    </dxf>
    <dxf>
      <numFmt numFmtId="0" formatCode="General"/>
    </dxf>
    <dxf>
      <numFmt numFmtId="0" formatCode="General"/>
    </dxf>
    <dxf>
      <font>
        <color theme="5"/>
      </font>
    </dxf>
    <dxf>
      <numFmt numFmtId="0" formatCode="General"/>
    </dxf>
    <dxf>
      <font>
        <color theme="5"/>
      </font>
    </dxf>
    <dxf>
      <font>
        <color theme="5"/>
      </font>
    </dxf>
    <dxf>
      <font>
        <b/>
        <i/>
        <color theme="5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Unmessenger-style" pivot="0" count="3" xr9:uid="{00000000-0011-0000-FFFF-FFFF00000000}">
      <tableStyleElement type="headerRow" dxfId="22"/>
      <tableStyleElement type="firstRowStripe" dxfId="21"/>
      <tableStyleElement type="secondRowStripe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10/relationships/person" Target="persons/person1.xml"/><Relationship Id="rId3" Type="http://schemas.openxmlformats.org/officeDocument/2006/relationships/worksheet" Target="worksheets/sheet3.xml"/><Relationship Id="rId21" Type="http://schemas.microsoft.com/office/2017/10/relationships/person" Target="persons/person4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10/relationships/person" Target="persons/person0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20" Type="http://schemas.microsoft.com/office/2017/10/relationships/person" Target="persons/pers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customschemas.google.com/relationships/workbookmetadata" Target="metadata"/><Relationship Id="rId19" Type="http://schemas.microsoft.com/office/2017/10/relationships/person" Target="persons/pers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Relationship Id="rId22" Type="http://schemas.microsoft.com/office/2017/10/relationships/person" Target="persons/person5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466725</xdr:colOff>
      <xdr:row>0</xdr:row>
      <xdr:rowOff>104775</xdr:rowOff>
    </xdr:from>
    <xdr:ext cx="5114925" cy="7810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93300" y="3394238"/>
          <a:ext cx="5105400" cy="771525"/>
        </a:xfrm>
        <a:prstGeom prst="rect">
          <a:avLst/>
        </a:prstGeom>
        <a:solidFill>
          <a:schemeClr val="accent1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 b="0" cap="none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6</xdr:col>
      <xdr:colOff>1047750</xdr:colOff>
      <xdr:row>0</xdr:row>
      <xdr:rowOff>0</xdr:rowOff>
    </xdr:from>
    <xdr:ext cx="4057650" cy="9429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319708" y="3311186"/>
          <a:ext cx="4052584" cy="937629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5400" b="0" cap="none">
              <a:solidFill>
                <a:schemeClr val="dk1"/>
              </a:solidFill>
            </a:rPr>
            <a:t>Unmessenger</a:t>
          </a:r>
          <a:endParaRPr sz="1400"/>
        </a:p>
      </xdr:txBody>
    </xdr:sp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E7:M57">
  <tableColumns count="9">
    <tableColumn id="1" xr3:uid="{00000000-0010-0000-0000-000001000000}" name="Id"/>
    <tableColumn id="2" xr3:uid="{00000000-0010-0000-0000-000002000000}" name="Name"/>
    <tableColumn id="3" xr3:uid="{00000000-0010-0000-0000-000003000000}" name="Age"/>
    <tableColumn id="4" xr3:uid="{00000000-0010-0000-0000-000004000000}" name="Gender"/>
    <tableColumn id="5" xr3:uid="{00000000-0010-0000-0000-000005000000}" name="Department"/>
    <tableColumn id="6" xr3:uid="{00000000-0010-0000-0000-000006000000}" name="Email"/>
    <tableColumn id="7" xr3:uid="{00000000-0010-0000-0000-000007000000}" name="Phone"/>
    <tableColumn id="8" xr3:uid="{00000000-0010-0000-0000-000008000000}" name="Address"/>
    <tableColumn id="9" xr3:uid="{00000000-0010-0000-0000-000009000000}" name="Salary"/>
  </tableColumns>
  <tableStyleInfo name="Unmessenger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A745719-9A8F-45AC-A944-F861365E3A93}" name="Table_137" displayName="Table_137" ref="A1:J51">
  <tableColumns count="10">
    <tableColumn id="1" xr3:uid="{ADDDC7C8-AFCE-4A19-AE6A-F593398B1C7C}" name="Id"/>
    <tableColumn id="2" xr3:uid="{4C912064-47DF-4061-B04E-E25968F02193}" name="Name"/>
    <tableColumn id="3" xr3:uid="{2C75CEF3-2467-44F7-ABA1-41F97F4EF2D8}" name="Age"/>
    <tableColumn id="4" xr3:uid="{EB59363C-3377-45D1-90AE-FD0B38B47937}" name="Gender"/>
    <tableColumn id="5" xr3:uid="{9FF20046-7F1C-4EE1-9F32-98BADC4A6F69}" name="Department"/>
    <tableColumn id="6" xr3:uid="{24DEC24D-B948-4538-91CA-84C3029B4380}" name="Email"/>
    <tableColumn id="7" xr3:uid="{391D8209-FBB0-42FF-AC6B-C957E958D163}" name="Phone"/>
    <tableColumn id="8" xr3:uid="{59C0648F-F1CE-464D-9D12-B31461809F12}" name="Address"/>
    <tableColumn id="9" xr3:uid="{6F4282E2-FC47-456E-A331-E2F344CE66F9}" name="Salary"/>
    <tableColumn id="10" xr3:uid="{4D5CF6E0-480B-41CB-8CB1-064853D534D8}" name="Column1" dataDxfId="19">
      <calculatedColumnFormula>IF(B2&lt;&gt;"",B2,LEFT(F2,FIND("@",F2)-1))</calculatedColumnFormula>
    </tableColumn>
  </tableColumns>
  <tableStyleInfo name="Unmessenger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CE82B77-5109-4292-B10B-1B7231009478}" name="Table_134" displayName="Table_134" ref="A1:J51">
  <tableColumns count="10">
    <tableColumn id="1" xr3:uid="{B147B531-A6F5-4A17-B72B-F662D5ED5023}" name="Id"/>
    <tableColumn id="2" xr3:uid="{6990C595-4EF8-4290-B4D0-6C9C9D0D0A8E}" name="Name"/>
    <tableColumn id="3" xr3:uid="{0D010371-5AA0-44DB-B7CE-354346C091F7}" name="Age"/>
    <tableColumn id="4" xr3:uid="{B0B49357-0F1C-4D9E-88AC-6B45F3995B44}" name="Gender"/>
    <tableColumn id="5" xr3:uid="{D3EEF309-671C-4ED5-8EAF-9292B38D3774}" name="Department"/>
    <tableColumn id="6" xr3:uid="{2E872189-72CA-43DE-AA9F-B01D0FDA7755}" name="Email"/>
    <tableColumn id="7" xr3:uid="{1C5C135A-E55C-4384-8027-4F797F4CCB99}" name="Phone"/>
    <tableColumn id="8" xr3:uid="{5D1ADDDA-60EB-4164-ADE7-E55F5FDC497B}" name="Address"/>
    <tableColumn id="9" xr3:uid="{D7E40C70-5B4A-40C4-8098-70A3286BCA5E}" name="Salary"/>
    <tableColumn id="10" xr3:uid="{3FA75D1E-4182-4CB2-B8E5-BA4EF91704E3}" name="Column1" dataDxfId="18">
      <calculatedColumnFormula>IF(ISBLANK(C2), AVERAGE($C$2:$C$51), C2)</calculatedColumnFormula>
    </tableColumn>
  </tableColumns>
  <tableStyleInfo name="Unmessenger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A3D29-5E12-4C73-95BF-C326428331E4}" name="Table_15" displayName="Table_15" ref="A1:J51">
  <tableColumns count="10">
    <tableColumn id="1" xr3:uid="{31F09B88-7107-432B-9244-282B85AB7760}" name="Id"/>
    <tableColumn id="2" xr3:uid="{8ABD672D-2415-4048-A4FD-756D279507A7}" name="Name"/>
    <tableColumn id="3" xr3:uid="{5E0EC831-26F0-4362-A56D-7C6F7EB51A9C}" name="Age"/>
    <tableColumn id="4" xr3:uid="{66A5F9BE-59AB-41E1-B8AF-9EABEA3959E2}" name="Gender"/>
    <tableColumn id="5" xr3:uid="{07F39D17-2F72-4790-8579-8332816ABDF1}" name="Department"/>
    <tableColumn id="6" xr3:uid="{5747EA42-212B-47F0-BDA2-33AD2DC74D27}" name="Email"/>
    <tableColumn id="7" xr3:uid="{00650C43-2EEE-491A-B0BF-0805BF60C140}" name="Phone"/>
    <tableColumn id="8" xr3:uid="{3F93F854-FA37-4C57-AF86-CBD50F83D133}" name="Address"/>
    <tableColumn id="9" xr3:uid="{766F3082-E265-4292-8AE1-CC18BA8B1C7E}" name="Salary"/>
    <tableColumn id="10" xr3:uid="{D7F15774-BD1E-4F8E-A4EC-F7BB80D96970}" name="Column1" dataDxfId="17">
      <calculatedColumnFormula>IF(ISNUMBER(G2), CONCATENATE("(91-", MID(G2, 3, 10), ")"), "Invalid Phone Number")</calculatedColumnFormula>
    </tableColumn>
  </tableColumns>
  <tableStyleInfo name="Unmessenger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ECC09AD-5F0B-4864-8FDB-C43E176154BC}" name="Table_13489" displayName="Table_13489" ref="A1:J51">
  <tableColumns count="10">
    <tableColumn id="1" xr3:uid="{B7130EC1-5EFF-43DD-8A7B-95D36D6C6EBE}" name="Id"/>
    <tableColumn id="2" xr3:uid="{51CFDA07-B07E-4F52-BC91-C40411A06540}" name="Name"/>
    <tableColumn id="3" xr3:uid="{C3F8FE80-5F91-4B1A-8757-AB0405D2C9F9}" name="Age"/>
    <tableColumn id="4" xr3:uid="{06B4ED3C-71ED-4861-A839-7B01E706E173}" name="Gender"/>
    <tableColumn id="5" xr3:uid="{85016955-1CE1-4CB8-AF12-49B8EE586E73}" name="Department"/>
    <tableColumn id="6" xr3:uid="{391BC8D4-F41F-44BA-BAB6-B424D3DBA456}" name="Email"/>
    <tableColumn id="7" xr3:uid="{93D73C47-2C26-46D0-9EDF-8F18D972AB85}" name="Phone"/>
    <tableColumn id="8" xr3:uid="{A2AC0402-ED39-4FD0-82F2-F13A06E1CEAD}" name="Address"/>
    <tableColumn id="9" xr3:uid="{4F5FD2C6-F03A-476D-A67B-9470D57CD16B}" name="Salary"/>
    <tableColumn id="10" xr3:uid="{EED5D42E-B2D3-4119-89F4-59BC512771A0}" name="Column1" dataDxfId="16">
      <calculatedColumnFormula>IF(AND(ISBLANK(B2), ISBLANK(F2)), "Delete", "Keep")</calculatedColumnFormula>
    </tableColumn>
  </tableColumns>
  <tableStyleInfo name="Unmessenger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B372EC8-2F72-4300-A133-0BAFB9B5BCDC}" name="Table_1348910" displayName="Table_1348910" ref="A1:J51">
  <tableColumns count="10">
    <tableColumn id="1" xr3:uid="{39BE1D88-9DD0-4901-A2B3-50EE2F5E4510}" name="Id"/>
    <tableColumn id="2" xr3:uid="{025DB598-7366-46C0-A718-4D49D1E3C8D8}" name="Name"/>
    <tableColumn id="3" xr3:uid="{0BBC458D-17CE-4780-AFF1-026538030C93}" name="Age"/>
    <tableColumn id="4" xr3:uid="{E65C8C6B-6FEF-440A-8FF5-476EAA65C223}" name="Gender"/>
    <tableColumn id="5" xr3:uid="{13492ECE-7559-4028-BF5B-517E3ACC34D9}" name="Department"/>
    <tableColumn id="6" xr3:uid="{526128D5-3863-4940-9E15-8B47C537ED0A}" name="Email"/>
    <tableColumn id="7" xr3:uid="{C1C9CF4E-A87A-491A-B767-C2614FAF5F85}" name="Phone"/>
    <tableColumn id="8" xr3:uid="{7855E5BD-C93F-4A2B-ADE4-E878C48464A0}" name="Address"/>
    <tableColumn id="9" xr3:uid="{0357FDAB-458E-449B-BF62-E96BB1B7276B}" name="Salary"/>
    <tableColumn id="10" xr3:uid="{3E3ACB8A-E807-4BE6-A149-C637E03B8EF2}" name="Column1" dataDxfId="12">
      <calculatedColumnFormula>IF(AND(ISBLANK(B2), ISBLANK(F2)), "Delete", "Keep")</calculatedColumnFormula>
    </tableColumn>
  </tableColumns>
  <tableStyleInfo name="Unmessenger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22BF1E2-DF48-4378-AE02-7172E899CF39}" name="Table_134891011" displayName="Table_134891011" ref="A1:K51">
  <tableColumns count="11">
    <tableColumn id="1" xr3:uid="{A6C4439C-3433-4F24-BF43-DE509BE12507}" name="Id"/>
    <tableColumn id="2" xr3:uid="{2A204983-3774-4D67-9305-C93BBA379981}" name="Name"/>
    <tableColumn id="3" xr3:uid="{30121878-2604-45D0-94FB-57B8C5FDE73A}" name="Age"/>
    <tableColumn id="4" xr3:uid="{A7CB9976-21AC-4891-9F1C-EB9C43D3ECFD}" name="Gender"/>
    <tableColumn id="5" xr3:uid="{A4968A09-7AB6-4307-B0B0-9377B7845A16}" name="Department"/>
    <tableColumn id="6" xr3:uid="{04FD409A-172D-4D8F-8FDC-600E2AEFFC76}" name="Email"/>
    <tableColumn id="7" xr3:uid="{A893363F-9982-4C17-929B-EB2053D55012}" name="Phone"/>
    <tableColumn id="8" xr3:uid="{89773D0D-A293-4F40-A6B6-D4E4E5F2FFA5}" name="Address"/>
    <tableColumn id="9" xr3:uid="{DA8EEC01-2CC0-407C-892B-766F132B3696}" name="Salary"/>
    <tableColumn id="10" xr3:uid="{A159BC37-0381-4E8B-B3FD-FE356CE6EEAA}" name="Column1" dataDxfId="10">
      <calculatedColumnFormula>IF(AND(ISBLANK(B2), ISBLANK(F2)), "Delete", "Keep")</calculatedColumnFormula>
    </tableColumn>
    <tableColumn id="11" xr3:uid="{D90D07B5-4DCB-42AF-94C6-885758EB51D7}" name="Column2" dataDxfId="9">
      <calculatedColumnFormula>IF(AND(B2&lt;&gt;"", F2=""), "support@unmessenger.com", F2)</calculatedColumnFormula>
    </tableColumn>
  </tableColumns>
  <tableStyleInfo name="Unmessenger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7B7C39B-AE9B-4B61-8161-9912A06E327E}" name="Table_1348910115" displayName="Table_1348910115" ref="A1:L51">
  <tableColumns count="12">
    <tableColumn id="1" xr3:uid="{C30FE4DA-4324-42FB-AC2D-CBCC1A88DBFD}" name="Id"/>
    <tableColumn id="2" xr3:uid="{44520A84-695C-493D-AEC8-CDE5A53AD481}" name="Name"/>
    <tableColumn id="3" xr3:uid="{CD4F710F-A07A-466B-8F44-281B281C5DE6}" name="Age"/>
    <tableColumn id="4" xr3:uid="{2971FF43-2D20-4C51-A26B-3D60D8EA9F35}" name="Gender"/>
    <tableColumn id="5" xr3:uid="{45523795-A8D4-490A-BE5E-8F153E001862}" name="Department"/>
    <tableColumn id="6" xr3:uid="{4DD9C329-0C55-4CB4-89F7-B8938EDC9B6C}" name="Email"/>
    <tableColumn id="7" xr3:uid="{1D1B0FEF-0F0F-44ED-BF7C-D055E15492EE}" name="Phone"/>
    <tableColumn id="8" xr3:uid="{C67769D8-D745-446E-9FE0-7388358751ED}" name="Address"/>
    <tableColumn id="9" xr3:uid="{AD53E268-02D3-46D1-B244-0C20B65FFFB8}" name="Salary"/>
    <tableColumn id="10" xr3:uid="{53E913E8-08C3-4636-982B-94D0BB610403}" name="Column1" dataDxfId="7">
      <calculatedColumnFormula>IF(AND(ISBLANK(B2), ISBLANK(F2)), "Delete", "Keep")</calculatedColumnFormula>
    </tableColumn>
    <tableColumn id="11" xr3:uid="{AAB9816B-C06E-44CC-B661-B260F810736B}" name="Column2" dataDxfId="6">
      <calculatedColumnFormula>IF(AND(B2&lt;&gt;"", F2=""), "support@unmessenger.com", F2)</calculatedColumnFormula>
    </tableColumn>
    <tableColumn id="12" xr3:uid="{5895F8F8-A707-4468-9614-E10757F3EF0C}" name="Column3" dataDxfId="5">
      <calculatedColumnFormula>PROPER(SUBSTITUTE(SUBSTITUTE(SUBSTITUTE(SUBSTITUTE(SUBSTITUTE(SUBSTITUTE(E2,"DaTa SciENce","Data Science"),"SALES","Sales"),"OperarYION","Operations"),"Hr","HR"),"Mangement","Management"),"SLES","Sales"))</calculatedColumnFormula>
    </tableColumn>
  </tableColumns>
  <tableStyleInfo name="Unmessenger-style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36217B-8854-4CDD-9301-3FFDDEC2F7AB}" name="Table_13489101156" displayName="Table_13489101156" ref="A1:M51">
  <tableColumns count="13">
    <tableColumn id="1" xr3:uid="{4F5F56B9-B5D9-42DF-B0FA-426E9129F66C}" name="Id"/>
    <tableColumn id="2" xr3:uid="{63198EA2-4C7F-4800-A9E1-DEA608123963}" name="Name"/>
    <tableColumn id="3" xr3:uid="{0FCD914D-660D-4B97-B6F8-F85D01A71212}" name="Age"/>
    <tableColumn id="4" xr3:uid="{5D05AF20-5940-43F7-9705-A13DCB1720E3}" name="Gender"/>
    <tableColumn id="5" xr3:uid="{7B0A019C-B615-4E1D-A462-A80FB0213BC1}" name="Department"/>
    <tableColumn id="6" xr3:uid="{DB5C8385-7D03-4C59-8199-B8858B108A6C}" name="Email"/>
    <tableColumn id="7" xr3:uid="{33B30D39-1763-47FF-9718-D753B4DF1E29}" name="Phone"/>
    <tableColumn id="8" xr3:uid="{A4C5005F-6A4D-424D-8EFF-B732E3BB445C}" name="Address"/>
    <tableColumn id="9" xr3:uid="{1140440E-A6E2-438F-9B59-5920ED8FB43D}" name="Salary"/>
    <tableColumn id="10" xr3:uid="{BBF50453-0DDE-445C-A12E-69D5A4CB6BED}" name="Column1" dataDxfId="3">
      <calculatedColumnFormula>IF(AND(ISBLANK(B2), ISBLANK(F2)), "Delete", "Keep")</calculatedColumnFormula>
    </tableColumn>
    <tableColumn id="11" xr3:uid="{4A558E6F-36CB-4CA8-B9FF-65AF739AD202}" name="Column2" dataDxfId="2">
      <calculatedColumnFormula>IF(AND(B2&lt;&gt;"", F2=""), "support@unmessenger.com", F2)</calculatedColumnFormula>
    </tableColumn>
    <tableColumn id="12" xr3:uid="{9C0192DD-BD5D-46ED-A757-D91951FF2CB3}" name="Column3" dataDxfId="1">
      <calculatedColumnFormula>PROPER(SUBSTITUTE(SUBSTITUTE(SUBSTITUTE(SUBSTITUTE(SUBSTITUTE(SUBSTITUTE(E2,"DaTa SciENce","Data Science"),"SALES","Sales"),"OperarYION","Operations"),"Hr","HR"),"Mangement","Management"),"SLES","Sales"))</calculatedColumnFormula>
    </tableColumn>
    <tableColumn id="13" xr3:uid="{F3561047-BC5B-42A6-B139-9F8B87D051A3}" name="Column4" dataDxfId="0">
      <calculatedColumnFormula>IF(H2&lt;&gt;"", H2, "Address not Available")</calculatedColumnFormula>
    </tableColumn>
  </tableColumns>
  <tableStyleInfo name="Unmessenger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E1:M1000"/>
  <sheetViews>
    <sheetView workbookViewId="0">
      <selection activeCell="J5" sqref="J5"/>
    </sheetView>
  </sheetViews>
  <sheetFormatPr defaultColWidth="14.44140625" defaultRowHeight="15" customHeight="1" x14ac:dyDescent="0.3"/>
  <cols>
    <col min="1" max="4" width="8.6640625" customWidth="1"/>
    <col min="5" max="5" width="15.5546875" customWidth="1"/>
    <col min="6" max="6" width="8.6640625" customWidth="1"/>
    <col min="7" max="7" width="22.33203125" customWidth="1"/>
    <col min="8" max="8" width="35.44140625" customWidth="1"/>
    <col min="9" max="9" width="25.88671875" customWidth="1"/>
    <col min="10" max="10" width="8.6640625" customWidth="1"/>
    <col min="11" max="11" width="36.88671875" customWidth="1"/>
    <col min="12" max="12" width="15.33203125" customWidth="1"/>
    <col min="13" max="13" width="9" customWidth="1"/>
    <col min="14" max="26" width="8.6640625" customWidth="1"/>
  </cols>
  <sheetData>
    <row r="1" spans="5:13" ht="14.25" customHeight="1" x14ac:dyDescent="0.3"/>
    <row r="2" spans="5:13" ht="14.25" customHeight="1" x14ac:dyDescent="0.3"/>
    <row r="3" spans="5:13" ht="14.25" customHeight="1" x14ac:dyDescent="0.3"/>
    <row r="4" spans="5:13" ht="14.25" customHeight="1" x14ac:dyDescent="0.3"/>
    <row r="5" spans="5:13" ht="14.25" customHeight="1" x14ac:dyDescent="0.3"/>
    <row r="6" spans="5:13" ht="14.25" customHeight="1" x14ac:dyDescent="0.3"/>
    <row r="7" spans="5:13" ht="14.25" customHeight="1" x14ac:dyDescent="0.3">
      <c r="E7" s="1" t="s">
        <v>0</v>
      </c>
      <c r="F7" s="1" t="s">
        <v>1</v>
      </c>
      <c r="G7" s="1" t="s">
        <v>2</v>
      </c>
      <c r="H7" s="1" t="s">
        <v>3</v>
      </c>
      <c r="I7" s="1" t="s">
        <v>4</v>
      </c>
      <c r="J7" s="1" t="s">
        <v>5</v>
      </c>
      <c r="K7" s="1" t="s">
        <v>6</v>
      </c>
      <c r="L7" s="1" t="s">
        <v>7</v>
      </c>
      <c r="M7" s="1" t="s">
        <v>8</v>
      </c>
    </row>
    <row r="8" spans="5:13" ht="14.25" customHeight="1" x14ac:dyDescent="0.3">
      <c r="E8" s="2">
        <v>1</v>
      </c>
      <c r="F8" s="2" t="s">
        <v>9</v>
      </c>
      <c r="G8" s="2">
        <v>32</v>
      </c>
      <c r="H8" s="2" t="s">
        <v>10</v>
      </c>
      <c r="I8" s="2" t="s">
        <v>11</v>
      </c>
      <c r="J8" s="2" t="s">
        <v>12</v>
      </c>
      <c r="K8" s="2" t="s">
        <v>13</v>
      </c>
      <c r="L8" s="2" t="s">
        <v>14</v>
      </c>
      <c r="M8" s="2">
        <v>4553</v>
      </c>
    </row>
    <row r="9" spans="5:13" ht="14.25" customHeight="1" x14ac:dyDescent="0.3">
      <c r="E9" s="2">
        <v>2</v>
      </c>
      <c r="F9" s="2" t="s">
        <v>15</v>
      </c>
      <c r="G9" s="2">
        <v>28</v>
      </c>
      <c r="H9" s="2" t="s">
        <v>16</v>
      </c>
      <c r="I9" s="2" t="s">
        <v>17</v>
      </c>
      <c r="J9" s="2" t="s">
        <v>18</v>
      </c>
      <c r="K9" s="2" t="s">
        <v>19</v>
      </c>
      <c r="L9" s="2" t="s">
        <v>20</v>
      </c>
      <c r="M9" s="2">
        <v>31169</v>
      </c>
    </row>
    <row r="10" spans="5:13" ht="14.25" customHeight="1" x14ac:dyDescent="0.3">
      <c r="E10" s="2">
        <v>3</v>
      </c>
      <c r="F10" s="2" t="s">
        <v>21</v>
      </c>
      <c r="G10" s="2">
        <v>27</v>
      </c>
      <c r="H10" s="2" t="s">
        <v>10</v>
      </c>
      <c r="I10" s="2" t="s">
        <v>22</v>
      </c>
      <c r="J10" s="2" t="s">
        <v>23</v>
      </c>
      <c r="K10" s="2" t="s">
        <v>24</v>
      </c>
      <c r="L10" s="2" t="s">
        <v>25</v>
      </c>
      <c r="M10" s="2">
        <v>11116</v>
      </c>
    </row>
    <row r="11" spans="5:13" ht="14.25" customHeight="1" x14ac:dyDescent="0.3">
      <c r="E11" s="2">
        <v>4</v>
      </c>
      <c r="F11" s="2" t="s">
        <v>26</v>
      </c>
      <c r="G11" s="2">
        <v>33</v>
      </c>
      <c r="H11" s="2" t="s">
        <v>16</v>
      </c>
      <c r="I11" s="2" t="s">
        <v>27</v>
      </c>
      <c r="J11" s="2" t="s">
        <v>28</v>
      </c>
      <c r="K11" s="2" t="s">
        <v>29</v>
      </c>
      <c r="L11" s="2" t="s">
        <v>30</v>
      </c>
      <c r="M11" s="2">
        <v>33457</v>
      </c>
    </row>
    <row r="12" spans="5:13" ht="14.25" customHeight="1" x14ac:dyDescent="0.3">
      <c r="E12" s="2">
        <v>5</v>
      </c>
      <c r="F12" s="2" t="e">
        <f>IF(F5="",LEFT(J5,FIND("@",F5) -1), F5)</f>
        <v>#VALUE!</v>
      </c>
      <c r="G12" s="2">
        <v>29</v>
      </c>
      <c r="H12" s="2" t="s">
        <v>16</v>
      </c>
      <c r="I12" s="2" t="s">
        <v>31</v>
      </c>
      <c r="J12" s="2" t="s">
        <v>32</v>
      </c>
      <c r="K12" s="2"/>
      <c r="L12" s="2"/>
      <c r="M12" s="2">
        <v>21918</v>
      </c>
    </row>
    <row r="13" spans="5:13" ht="14.25" customHeight="1" x14ac:dyDescent="0.3">
      <c r="E13" s="2">
        <v>6</v>
      </c>
      <c r="F13" s="2" t="s">
        <v>33</v>
      </c>
      <c r="G13" s="2">
        <v>34</v>
      </c>
      <c r="H13" s="2" t="s">
        <v>10</v>
      </c>
      <c r="I13" s="2" t="s">
        <v>34</v>
      </c>
      <c r="J13" s="2" t="s">
        <v>35</v>
      </c>
      <c r="K13" s="2"/>
      <c r="L13" s="2" t="s">
        <v>36</v>
      </c>
      <c r="M13" s="2">
        <v>33418</v>
      </c>
    </row>
    <row r="14" spans="5:13" ht="14.25" customHeight="1" x14ac:dyDescent="0.3">
      <c r="E14" s="2">
        <v>7</v>
      </c>
      <c r="F14" s="2" t="s">
        <v>37</v>
      </c>
      <c r="G14" s="2">
        <v>25</v>
      </c>
      <c r="H14" s="2" t="s">
        <v>16</v>
      </c>
      <c r="I14" s="2" t="s">
        <v>22</v>
      </c>
      <c r="J14" s="2"/>
      <c r="K14" s="2" t="s">
        <v>38</v>
      </c>
      <c r="L14" s="2" t="s">
        <v>39</v>
      </c>
      <c r="M14" s="2">
        <v>45828</v>
      </c>
    </row>
    <row r="15" spans="5:13" ht="14.25" customHeight="1" x14ac:dyDescent="0.3">
      <c r="E15" s="2">
        <v>8</v>
      </c>
      <c r="F15" s="2" t="s">
        <v>40</v>
      </c>
      <c r="G15" s="2">
        <v>31</v>
      </c>
      <c r="H15" s="2" t="s">
        <v>10</v>
      </c>
      <c r="I15" s="2" t="s">
        <v>27</v>
      </c>
      <c r="J15" s="2" t="s">
        <v>41</v>
      </c>
      <c r="K15" s="2">
        <f>91-8888888888</f>
        <v>-8888888797</v>
      </c>
      <c r="L15" s="2"/>
      <c r="M15" s="2">
        <v>45450</v>
      </c>
    </row>
    <row r="16" spans="5:13" ht="14.25" customHeight="1" x14ac:dyDescent="0.3">
      <c r="E16" s="2">
        <v>9</v>
      </c>
      <c r="F16" s="2" t="s">
        <v>42</v>
      </c>
      <c r="G16" s="2">
        <v>27</v>
      </c>
      <c r="H16" s="2" t="s">
        <v>16</v>
      </c>
      <c r="I16" s="2" t="s">
        <v>31</v>
      </c>
      <c r="J16" s="2" t="s">
        <v>43</v>
      </c>
      <c r="K16" s="2">
        <f>91-7777777777</f>
        <v>-7777777686</v>
      </c>
      <c r="L16" s="2" t="s">
        <v>44</v>
      </c>
      <c r="M16" s="2">
        <v>49938</v>
      </c>
    </row>
    <row r="17" spans="5:13" ht="14.25" customHeight="1" x14ac:dyDescent="0.3">
      <c r="E17" s="2">
        <v>10</v>
      </c>
      <c r="F17" s="2"/>
      <c r="G17" s="2">
        <v>35</v>
      </c>
      <c r="H17" s="2" t="s">
        <v>10</v>
      </c>
      <c r="I17" s="2" t="s">
        <v>11</v>
      </c>
      <c r="J17" s="2" t="s">
        <v>45</v>
      </c>
      <c r="K17" s="2"/>
      <c r="L17" s="2" t="s">
        <v>46</v>
      </c>
      <c r="M17" s="2">
        <v>9818</v>
      </c>
    </row>
    <row r="18" spans="5:13" ht="14.25" customHeight="1" x14ac:dyDescent="0.3">
      <c r="E18" s="2">
        <v>11</v>
      </c>
      <c r="F18" s="2" t="s">
        <v>47</v>
      </c>
      <c r="G18" s="2"/>
      <c r="H18" s="2" t="s">
        <v>16</v>
      </c>
      <c r="I18" s="2" t="s">
        <v>17</v>
      </c>
      <c r="J18" s="2" t="s">
        <v>48</v>
      </c>
      <c r="K18" s="2">
        <f>91-6666666666</f>
        <v>-6666666575</v>
      </c>
      <c r="L18" s="2" t="s">
        <v>49</v>
      </c>
      <c r="M18" s="2">
        <v>41836</v>
      </c>
    </row>
    <row r="19" spans="5:13" ht="14.25" customHeight="1" x14ac:dyDescent="0.3">
      <c r="E19" s="2">
        <v>12</v>
      </c>
      <c r="F19" s="2" t="s">
        <v>50</v>
      </c>
      <c r="G19" s="2">
        <v>29</v>
      </c>
      <c r="H19" s="2" t="s">
        <v>10</v>
      </c>
      <c r="I19" s="2" t="s">
        <v>17</v>
      </c>
      <c r="J19" s="2" t="s">
        <v>51</v>
      </c>
      <c r="K19" s="2">
        <f>91-5555555555</f>
        <v>-5555555464</v>
      </c>
      <c r="L19" s="2" t="s">
        <v>52</v>
      </c>
      <c r="M19" s="2">
        <v>11901</v>
      </c>
    </row>
    <row r="20" spans="5:13" ht="14.25" customHeight="1" x14ac:dyDescent="0.3">
      <c r="E20" s="2">
        <v>13</v>
      </c>
      <c r="F20" s="2"/>
      <c r="G20" s="2">
        <v>26</v>
      </c>
      <c r="H20" s="2" t="s">
        <v>10</v>
      </c>
      <c r="I20" s="2" t="s">
        <v>53</v>
      </c>
      <c r="J20" s="2"/>
      <c r="K20" s="2">
        <f>91-7777777777</f>
        <v>-7777777686</v>
      </c>
      <c r="L20" s="2" t="s">
        <v>54</v>
      </c>
      <c r="M20" s="2">
        <v>46236</v>
      </c>
    </row>
    <row r="21" spans="5:13" ht="14.25" customHeight="1" x14ac:dyDescent="0.3">
      <c r="E21" s="2">
        <v>14</v>
      </c>
      <c r="F21" s="2" t="s">
        <v>55</v>
      </c>
      <c r="G21" s="2">
        <v>28</v>
      </c>
      <c r="H21" s="2" t="s">
        <v>16</v>
      </c>
      <c r="I21" s="2" t="s">
        <v>56</v>
      </c>
      <c r="J21" s="2" t="s">
        <v>57</v>
      </c>
      <c r="K21" s="2"/>
      <c r="L21" s="2" t="s">
        <v>58</v>
      </c>
      <c r="M21" s="2">
        <v>21978</v>
      </c>
    </row>
    <row r="22" spans="5:13" ht="14.25" customHeight="1" x14ac:dyDescent="0.3">
      <c r="E22" s="2">
        <v>15</v>
      </c>
      <c r="F22" s="2"/>
      <c r="G22" s="2">
        <v>30</v>
      </c>
      <c r="H22" s="2" t="s">
        <v>16</v>
      </c>
      <c r="I22" s="2" t="s">
        <v>59</v>
      </c>
      <c r="J22" s="2" t="s">
        <v>60</v>
      </c>
      <c r="K22" s="2">
        <f>91-8888888888</f>
        <v>-8888888797</v>
      </c>
      <c r="L22" s="2"/>
      <c r="M22" s="2">
        <v>49400</v>
      </c>
    </row>
    <row r="23" spans="5:13" ht="14.25" customHeight="1" x14ac:dyDescent="0.3">
      <c r="E23" s="2">
        <v>16</v>
      </c>
      <c r="F23" s="2" t="s">
        <v>61</v>
      </c>
      <c r="G23" s="2">
        <v>32</v>
      </c>
      <c r="H23" s="2" t="s">
        <v>10</v>
      </c>
      <c r="I23" s="2" t="s">
        <v>62</v>
      </c>
      <c r="J23" s="2" t="s">
        <v>63</v>
      </c>
      <c r="K23" s="2">
        <f>91-1234567890</f>
        <v>-1234567799</v>
      </c>
      <c r="L23" s="2" t="s">
        <v>64</v>
      </c>
      <c r="M23" s="2">
        <v>28476</v>
      </c>
    </row>
    <row r="24" spans="5:13" ht="14.25" customHeight="1" x14ac:dyDescent="0.3">
      <c r="E24" s="2">
        <v>17</v>
      </c>
      <c r="F24" s="2" t="s">
        <v>65</v>
      </c>
      <c r="G24" s="2">
        <v>26</v>
      </c>
      <c r="H24" s="2" t="s">
        <v>16</v>
      </c>
      <c r="I24" s="2" t="s">
        <v>66</v>
      </c>
      <c r="J24" s="2" t="s">
        <v>67</v>
      </c>
      <c r="K24" s="2">
        <f>91-8765432109</f>
        <v>-8765432018</v>
      </c>
      <c r="L24" s="2"/>
      <c r="M24" s="2">
        <v>40088</v>
      </c>
    </row>
    <row r="25" spans="5:13" ht="14.25" customHeight="1" x14ac:dyDescent="0.3">
      <c r="E25" s="2">
        <v>18</v>
      </c>
      <c r="F25" s="2" t="s">
        <v>68</v>
      </c>
      <c r="G25" s="2">
        <v>28</v>
      </c>
      <c r="H25" s="2" t="s">
        <v>10</v>
      </c>
      <c r="I25" s="2" t="s">
        <v>34</v>
      </c>
      <c r="J25" s="2" t="s">
        <v>69</v>
      </c>
      <c r="K25" s="2">
        <f>91-9876543210</f>
        <v>-9876543119</v>
      </c>
      <c r="L25" s="2" t="s">
        <v>70</v>
      </c>
      <c r="M25" s="2">
        <v>2949</v>
      </c>
    </row>
    <row r="26" spans="5:13" ht="14.25" customHeight="1" x14ac:dyDescent="0.3">
      <c r="E26" s="2">
        <v>19</v>
      </c>
      <c r="F26" s="2" t="s">
        <v>71</v>
      </c>
      <c r="G26" s="2">
        <v>30</v>
      </c>
      <c r="H26" s="2" t="s">
        <v>16</v>
      </c>
      <c r="I26" s="2" t="s">
        <v>34</v>
      </c>
      <c r="J26" s="2" t="s">
        <v>72</v>
      </c>
      <c r="K26" s="2">
        <f>91-5555555555</f>
        <v>-5555555464</v>
      </c>
      <c r="L26" s="2" t="s">
        <v>73</v>
      </c>
      <c r="M26" s="2">
        <v>3337</v>
      </c>
    </row>
    <row r="27" spans="5:13" ht="14.25" customHeight="1" x14ac:dyDescent="0.3">
      <c r="E27" s="2">
        <v>20</v>
      </c>
      <c r="F27" s="2"/>
      <c r="G27" s="2">
        <v>32</v>
      </c>
      <c r="H27" s="2" t="s">
        <v>10</v>
      </c>
      <c r="I27" s="2" t="s">
        <v>59</v>
      </c>
      <c r="J27" s="2" t="s">
        <v>74</v>
      </c>
      <c r="K27" s="2">
        <f>91-9999999999</f>
        <v>-9999999908</v>
      </c>
      <c r="L27" s="2"/>
      <c r="M27" s="2">
        <v>2857</v>
      </c>
    </row>
    <row r="28" spans="5:13" ht="14.25" customHeight="1" x14ac:dyDescent="0.3">
      <c r="E28" s="2">
        <v>21</v>
      </c>
      <c r="F28" s="2" t="s">
        <v>75</v>
      </c>
      <c r="G28" s="2">
        <v>26</v>
      </c>
      <c r="H28" s="2" t="s">
        <v>16</v>
      </c>
      <c r="I28" s="2" t="s">
        <v>62</v>
      </c>
      <c r="J28" s="2" t="s">
        <v>76</v>
      </c>
      <c r="K28" s="2"/>
      <c r="L28" s="2" t="s">
        <v>77</v>
      </c>
      <c r="M28" s="2">
        <v>35969</v>
      </c>
    </row>
    <row r="29" spans="5:13" ht="14.25" customHeight="1" x14ac:dyDescent="0.3">
      <c r="E29" s="2">
        <v>22</v>
      </c>
      <c r="F29" s="2" t="s">
        <v>78</v>
      </c>
      <c r="G29" s="2">
        <v>33</v>
      </c>
      <c r="H29" s="2" t="s">
        <v>10</v>
      </c>
      <c r="I29" s="2" t="s">
        <v>66</v>
      </c>
      <c r="J29" s="2" t="s">
        <v>79</v>
      </c>
      <c r="K29" s="2">
        <f>91-8888888888</f>
        <v>-8888888797</v>
      </c>
      <c r="L29" s="2" t="s">
        <v>80</v>
      </c>
      <c r="M29" s="2">
        <v>49681</v>
      </c>
    </row>
    <row r="30" spans="5:13" ht="14.25" customHeight="1" x14ac:dyDescent="0.3">
      <c r="E30" s="2">
        <v>23</v>
      </c>
      <c r="F30" s="2"/>
      <c r="G30" s="2">
        <v>27</v>
      </c>
      <c r="H30" s="2" t="s">
        <v>16</v>
      </c>
      <c r="I30" s="2" t="s">
        <v>34</v>
      </c>
      <c r="J30" s="2"/>
      <c r="K30" s="2">
        <f>91-7777777777</f>
        <v>-7777777686</v>
      </c>
      <c r="L30" s="2" t="s">
        <v>81</v>
      </c>
      <c r="M30" s="2">
        <v>45102</v>
      </c>
    </row>
    <row r="31" spans="5:13" ht="14.25" customHeight="1" x14ac:dyDescent="0.3">
      <c r="E31" s="2">
        <v>24</v>
      </c>
      <c r="F31" s="2" t="s">
        <v>82</v>
      </c>
      <c r="G31" s="2">
        <v>29</v>
      </c>
      <c r="H31" s="2" t="s">
        <v>10</v>
      </c>
      <c r="I31" s="2" t="s">
        <v>11</v>
      </c>
      <c r="J31" s="2" t="s">
        <v>83</v>
      </c>
      <c r="K31" s="2" t="s">
        <v>84</v>
      </c>
      <c r="L31" s="2"/>
      <c r="M31" s="2">
        <v>15853</v>
      </c>
    </row>
    <row r="32" spans="5:13" ht="14.25" customHeight="1" x14ac:dyDescent="0.3">
      <c r="E32" s="2">
        <v>25</v>
      </c>
      <c r="F32" s="2" t="s">
        <v>85</v>
      </c>
      <c r="G32" s="2"/>
      <c r="H32" s="2" t="s">
        <v>16</v>
      </c>
      <c r="I32" s="2" t="s">
        <v>17</v>
      </c>
      <c r="J32" s="2" t="s">
        <v>86</v>
      </c>
      <c r="K32" s="2">
        <f>91-5555555555</f>
        <v>-5555555464</v>
      </c>
      <c r="L32" s="2" t="s">
        <v>87</v>
      </c>
      <c r="M32" s="2">
        <v>6926</v>
      </c>
    </row>
    <row r="33" spans="5:13" ht="14.25" customHeight="1" x14ac:dyDescent="0.3">
      <c r="E33" s="2">
        <v>26</v>
      </c>
      <c r="F33" s="2" t="s">
        <v>88</v>
      </c>
      <c r="G33" s="2">
        <v>31</v>
      </c>
      <c r="H33" s="2" t="s">
        <v>10</v>
      </c>
      <c r="I33" s="2" t="s">
        <v>59</v>
      </c>
      <c r="J33" s="2" t="s">
        <v>89</v>
      </c>
      <c r="K33" s="2"/>
      <c r="L33" s="2" t="s">
        <v>90</v>
      </c>
      <c r="M33" s="2">
        <v>45678</v>
      </c>
    </row>
    <row r="34" spans="5:13" ht="14.25" customHeight="1" x14ac:dyDescent="0.3">
      <c r="E34" s="2">
        <v>27</v>
      </c>
      <c r="F34" s="2" t="s">
        <v>91</v>
      </c>
      <c r="G34" s="2">
        <v>28</v>
      </c>
      <c r="H34" s="2" t="s">
        <v>16</v>
      </c>
      <c r="I34" s="2" t="s">
        <v>62</v>
      </c>
      <c r="J34" s="2" t="s">
        <v>92</v>
      </c>
      <c r="K34" s="2">
        <f>91-7777777777</f>
        <v>-7777777686</v>
      </c>
      <c r="L34" s="2" t="s">
        <v>93</v>
      </c>
      <c r="M34" s="2">
        <v>8022</v>
      </c>
    </row>
    <row r="35" spans="5:13" ht="14.25" customHeight="1" x14ac:dyDescent="0.3">
      <c r="E35" s="2">
        <v>28</v>
      </c>
      <c r="F35" s="2" t="s">
        <v>94</v>
      </c>
      <c r="G35" s="2">
        <v>34</v>
      </c>
      <c r="H35" s="2" t="s">
        <v>10</v>
      </c>
      <c r="I35" s="2" t="s">
        <v>66</v>
      </c>
      <c r="J35" s="2" t="s">
        <v>95</v>
      </c>
      <c r="K35" s="2">
        <f>91-8888888888</f>
        <v>-8888888797</v>
      </c>
      <c r="L35" s="2" t="s">
        <v>96</v>
      </c>
      <c r="M35" s="2">
        <v>3484</v>
      </c>
    </row>
    <row r="36" spans="5:13" ht="14.25" customHeight="1" x14ac:dyDescent="0.3">
      <c r="E36" s="2">
        <v>29</v>
      </c>
      <c r="F36" s="2" t="s">
        <v>97</v>
      </c>
      <c r="G36" s="2">
        <v>26</v>
      </c>
      <c r="H36" s="2" t="s">
        <v>16</v>
      </c>
      <c r="I36" s="2" t="s">
        <v>22</v>
      </c>
      <c r="J36" s="2" t="s">
        <v>98</v>
      </c>
      <c r="K36" s="2">
        <f>91-7777777777</f>
        <v>-7777777686</v>
      </c>
      <c r="L36" s="2" t="s">
        <v>99</v>
      </c>
      <c r="M36" s="2">
        <v>11342</v>
      </c>
    </row>
    <row r="37" spans="5:13" ht="14.25" customHeight="1" x14ac:dyDescent="0.3">
      <c r="E37" s="2">
        <v>30</v>
      </c>
      <c r="F37" s="2"/>
      <c r="G37" s="2">
        <v>29</v>
      </c>
      <c r="H37" s="2" t="s">
        <v>10</v>
      </c>
      <c r="I37" s="2" t="s">
        <v>27</v>
      </c>
      <c r="J37" s="2" t="s">
        <v>100</v>
      </c>
      <c r="K37" s="2"/>
      <c r="L37" s="2" t="s">
        <v>101</v>
      </c>
      <c r="M37" s="2">
        <v>40940</v>
      </c>
    </row>
    <row r="38" spans="5:13" ht="14.25" customHeight="1" x14ac:dyDescent="0.3">
      <c r="E38" s="2">
        <v>31</v>
      </c>
      <c r="F38" s="2" t="s">
        <v>42</v>
      </c>
      <c r="G38" s="2">
        <v>27</v>
      </c>
      <c r="H38" s="2" t="s">
        <v>16</v>
      </c>
      <c r="I38" s="2" t="s">
        <v>31</v>
      </c>
      <c r="J38" s="2" t="s">
        <v>102</v>
      </c>
      <c r="K38" s="2">
        <f>91-5555555555</f>
        <v>-5555555464</v>
      </c>
      <c r="L38" s="2"/>
      <c r="M38" s="2">
        <v>41841</v>
      </c>
    </row>
    <row r="39" spans="5:13" ht="14.25" customHeight="1" x14ac:dyDescent="0.3">
      <c r="E39" s="2">
        <v>32</v>
      </c>
      <c r="F39" s="2" t="s">
        <v>103</v>
      </c>
      <c r="G39" s="2">
        <v>32</v>
      </c>
      <c r="H39" s="2" t="s">
        <v>10</v>
      </c>
      <c r="I39" s="2" t="s">
        <v>59</v>
      </c>
      <c r="J39" s="2" t="s">
        <v>104</v>
      </c>
      <c r="K39" s="2"/>
      <c r="L39" s="2" t="s">
        <v>105</v>
      </c>
      <c r="M39" s="2">
        <v>39835</v>
      </c>
    </row>
    <row r="40" spans="5:13" ht="14.25" customHeight="1" x14ac:dyDescent="0.3">
      <c r="E40" s="2">
        <v>33</v>
      </c>
      <c r="F40" s="2"/>
      <c r="G40" s="2">
        <v>33</v>
      </c>
      <c r="H40" s="2" t="s">
        <v>16</v>
      </c>
      <c r="I40" s="2" t="s">
        <v>62</v>
      </c>
      <c r="J40" s="2" t="s">
        <v>106</v>
      </c>
      <c r="K40" s="2">
        <f>91-6666666666</f>
        <v>-6666666575</v>
      </c>
      <c r="L40" s="2" t="s">
        <v>107</v>
      </c>
      <c r="M40" s="2">
        <v>9577</v>
      </c>
    </row>
    <row r="41" spans="5:13" ht="14.25" customHeight="1" x14ac:dyDescent="0.3">
      <c r="E41" s="2">
        <v>34</v>
      </c>
      <c r="F41" s="2" t="s">
        <v>108</v>
      </c>
      <c r="G41" s="2">
        <v>30</v>
      </c>
      <c r="H41" s="2" t="s">
        <v>10</v>
      </c>
      <c r="I41" s="2" t="s">
        <v>66</v>
      </c>
      <c r="J41" s="2" t="s">
        <v>109</v>
      </c>
      <c r="K41" s="2"/>
      <c r="L41" s="2" t="s">
        <v>110</v>
      </c>
      <c r="M41" s="2">
        <v>29480</v>
      </c>
    </row>
    <row r="42" spans="5:13" ht="14.25" customHeight="1" x14ac:dyDescent="0.3">
      <c r="E42" s="2">
        <v>35</v>
      </c>
      <c r="F42" s="2" t="s">
        <v>111</v>
      </c>
      <c r="G42" s="2"/>
      <c r="H42" s="2" t="s">
        <v>16</v>
      </c>
      <c r="I42" s="2" t="s">
        <v>22</v>
      </c>
      <c r="J42" s="2" t="s">
        <v>112</v>
      </c>
      <c r="K42" s="2">
        <f>91-5555555555</f>
        <v>-5555555464</v>
      </c>
      <c r="L42" s="2" t="s">
        <v>113</v>
      </c>
      <c r="M42" s="2">
        <v>14254</v>
      </c>
    </row>
    <row r="43" spans="5:13" ht="14.25" customHeight="1" x14ac:dyDescent="0.3">
      <c r="E43" s="2">
        <v>36</v>
      </c>
      <c r="F43" s="2" t="s">
        <v>114</v>
      </c>
      <c r="G43" s="2">
        <v>29</v>
      </c>
      <c r="H43" s="2" t="s">
        <v>10</v>
      </c>
      <c r="I43" s="2" t="s">
        <v>27</v>
      </c>
      <c r="J43" s="2" t="s">
        <v>115</v>
      </c>
      <c r="K43" s="2">
        <f>91-7777777777</f>
        <v>-7777777686</v>
      </c>
      <c r="L43" s="2" t="s">
        <v>116</v>
      </c>
      <c r="M43" s="2">
        <v>37358</v>
      </c>
    </row>
    <row r="44" spans="5:13" ht="14.25" customHeight="1" x14ac:dyDescent="0.3">
      <c r="E44" s="2">
        <v>37</v>
      </c>
      <c r="F44" s="2"/>
      <c r="G44" s="2">
        <v>31</v>
      </c>
      <c r="H44" s="2" t="s">
        <v>16</v>
      </c>
      <c r="I44" s="2" t="s">
        <v>31</v>
      </c>
      <c r="J44" s="2" t="s">
        <v>117</v>
      </c>
      <c r="K44" s="2"/>
      <c r="L44" s="2" t="s">
        <v>118</v>
      </c>
      <c r="M44" s="2">
        <v>48367</v>
      </c>
    </row>
    <row r="45" spans="5:13" ht="14.25" customHeight="1" x14ac:dyDescent="0.3">
      <c r="E45" s="2">
        <v>38</v>
      </c>
      <c r="F45" s="2" t="s">
        <v>119</v>
      </c>
      <c r="G45" s="2">
        <v>28</v>
      </c>
      <c r="H45" s="2" t="s">
        <v>10</v>
      </c>
      <c r="I45" s="2" t="s">
        <v>120</v>
      </c>
      <c r="J45" s="2" t="s">
        <v>121</v>
      </c>
      <c r="K45" s="2">
        <f>91-8888888888</f>
        <v>-8888888797</v>
      </c>
      <c r="L45" s="2" t="s">
        <v>122</v>
      </c>
      <c r="M45" s="2">
        <v>37473</v>
      </c>
    </row>
    <row r="46" spans="5:13" ht="14.25" customHeight="1" x14ac:dyDescent="0.3">
      <c r="E46" s="2">
        <v>39</v>
      </c>
      <c r="F46" s="2" t="s">
        <v>123</v>
      </c>
      <c r="G46" s="2">
        <v>33</v>
      </c>
      <c r="H46" s="2" t="s">
        <v>16</v>
      </c>
      <c r="I46" s="2" t="s">
        <v>124</v>
      </c>
      <c r="J46" s="2" t="s">
        <v>125</v>
      </c>
      <c r="K46" s="2">
        <f>91-9999999999</f>
        <v>-9999999908</v>
      </c>
      <c r="L46" s="2" t="s">
        <v>126</v>
      </c>
      <c r="M46" s="2">
        <v>30628</v>
      </c>
    </row>
    <row r="47" spans="5:13" ht="14.25" customHeight="1" x14ac:dyDescent="0.3">
      <c r="E47" s="2">
        <v>40</v>
      </c>
      <c r="F47" s="2" t="s">
        <v>127</v>
      </c>
      <c r="G47" s="2">
        <v>30</v>
      </c>
      <c r="H47" s="2" t="s">
        <v>10</v>
      </c>
      <c r="I47" s="2" t="s">
        <v>128</v>
      </c>
      <c r="J47" s="2" t="s">
        <v>129</v>
      </c>
      <c r="K47" s="2"/>
      <c r="L47" s="2" t="s">
        <v>130</v>
      </c>
      <c r="M47" s="2">
        <v>22018</v>
      </c>
    </row>
    <row r="48" spans="5:13" ht="14.25" customHeight="1" x14ac:dyDescent="0.3">
      <c r="E48" s="2">
        <v>41</v>
      </c>
      <c r="F48" s="2" t="s">
        <v>131</v>
      </c>
      <c r="G48" s="2">
        <v>27</v>
      </c>
      <c r="H48" s="2" t="s">
        <v>16</v>
      </c>
      <c r="I48" s="2" t="s">
        <v>34</v>
      </c>
      <c r="J48" s="2" t="s">
        <v>132</v>
      </c>
      <c r="K48" s="2">
        <f>91-7777777777</f>
        <v>-7777777686</v>
      </c>
      <c r="L48" s="2" t="s">
        <v>133</v>
      </c>
      <c r="M48" s="2">
        <v>35747</v>
      </c>
    </row>
    <row r="49" spans="5:13" ht="14.25" customHeight="1" x14ac:dyDescent="0.3">
      <c r="E49" s="2">
        <v>42</v>
      </c>
      <c r="F49" s="2" t="s">
        <v>134</v>
      </c>
      <c r="G49" s="2">
        <v>29</v>
      </c>
      <c r="H49" s="2" t="s">
        <v>10</v>
      </c>
      <c r="I49" s="2" t="s">
        <v>31</v>
      </c>
      <c r="J49" s="2" t="s">
        <v>135</v>
      </c>
      <c r="K49" s="2"/>
      <c r="L49" s="2" t="s">
        <v>136</v>
      </c>
      <c r="M49" s="2">
        <v>32258</v>
      </c>
    </row>
    <row r="50" spans="5:13" ht="14.25" customHeight="1" x14ac:dyDescent="0.3">
      <c r="E50" s="2">
        <v>43</v>
      </c>
      <c r="F50" s="2" t="s">
        <v>137</v>
      </c>
      <c r="G50" s="2">
        <v>26</v>
      </c>
      <c r="H50" s="2" t="s">
        <v>16</v>
      </c>
      <c r="I50" s="2" t="s">
        <v>59</v>
      </c>
      <c r="J50" s="2" t="s">
        <v>138</v>
      </c>
      <c r="K50" s="2">
        <f>91-5555555555</f>
        <v>-5555555464</v>
      </c>
      <c r="L50" s="2" t="s">
        <v>139</v>
      </c>
      <c r="M50" s="2">
        <v>31047</v>
      </c>
    </row>
    <row r="51" spans="5:13" ht="14.25" customHeight="1" x14ac:dyDescent="0.3">
      <c r="E51" s="2">
        <v>44</v>
      </c>
      <c r="F51" s="2"/>
      <c r="G51" s="2">
        <v>28</v>
      </c>
      <c r="H51" s="2" t="s">
        <v>10</v>
      </c>
      <c r="I51" s="2" t="s">
        <v>62</v>
      </c>
      <c r="J51" s="2" t="s">
        <v>140</v>
      </c>
      <c r="K51" s="2"/>
      <c r="L51" s="2" t="s">
        <v>141</v>
      </c>
      <c r="M51" s="2">
        <v>31064</v>
      </c>
    </row>
    <row r="52" spans="5:13" ht="14.25" customHeight="1" x14ac:dyDescent="0.3">
      <c r="E52" s="2">
        <v>45</v>
      </c>
      <c r="F52" s="2" t="s">
        <v>142</v>
      </c>
      <c r="G52" s="2">
        <v>31</v>
      </c>
      <c r="H52" s="2" t="s">
        <v>10</v>
      </c>
      <c r="I52" s="2" t="s">
        <v>66</v>
      </c>
      <c r="J52" s="2" t="s">
        <v>143</v>
      </c>
      <c r="K52" s="2">
        <f>91-8888888888</f>
        <v>-8888888797</v>
      </c>
      <c r="L52" s="2"/>
      <c r="M52" s="2">
        <v>3108</v>
      </c>
    </row>
    <row r="53" spans="5:13" ht="14.25" customHeight="1" x14ac:dyDescent="0.3">
      <c r="E53" s="2">
        <v>46</v>
      </c>
      <c r="F53" s="2" t="s">
        <v>144</v>
      </c>
      <c r="G53" s="2">
        <v>27</v>
      </c>
      <c r="H53" s="2" t="s">
        <v>16</v>
      </c>
      <c r="I53" s="2" t="s">
        <v>120</v>
      </c>
      <c r="J53" s="2" t="s">
        <v>145</v>
      </c>
      <c r="K53" s="2">
        <f>91-7777777777</f>
        <v>-7777777686</v>
      </c>
      <c r="L53" s="2" t="s">
        <v>146</v>
      </c>
      <c r="M53" s="2">
        <v>20205</v>
      </c>
    </row>
    <row r="54" spans="5:13" ht="14.25" customHeight="1" x14ac:dyDescent="0.3">
      <c r="E54" s="2">
        <v>47</v>
      </c>
      <c r="F54" s="2"/>
      <c r="G54" s="2">
        <v>29</v>
      </c>
      <c r="H54" s="2" t="s">
        <v>10</v>
      </c>
      <c r="I54" s="2" t="s">
        <v>124</v>
      </c>
      <c r="J54" s="2" t="s">
        <v>147</v>
      </c>
      <c r="K54" s="2"/>
      <c r="L54" s="2" t="s">
        <v>148</v>
      </c>
      <c r="M54" s="2">
        <v>8746</v>
      </c>
    </row>
    <row r="55" spans="5:13" ht="14.25" customHeight="1" x14ac:dyDescent="0.3">
      <c r="E55" s="2">
        <v>48</v>
      </c>
      <c r="F55" s="2" t="s">
        <v>149</v>
      </c>
      <c r="G55" s="2">
        <v>32</v>
      </c>
      <c r="H55" s="2" t="s">
        <v>16</v>
      </c>
      <c r="I55" s="2" t="s">
        <v>22</v>
      </c>
      <c r="J55" s="2" t="s">
        <v>150</v>
      </c>
      <c r="K55" s="2">
        <f>91-6666666666</f>
        <v>-6666666575</v>
      </c>
      <c r="L55" s="2" t="s">
        <v>151</v>
      </c>
      <c r="M55" s="2">
        <v>15531</v>
      </c>
    </row>
    <row r="56" spans="5:13" ht="14.25" customHeight="1" x14ac:dyDescent="0.3">
      <c r="E56" s="2">
        <v>49</v>
      </c>
      <c r="F56" s="2" t="s">
        <v>152</v>
      </c>
      <c r="G56" s="2"/>
      <c r="H56" s="2" t="s">
        <v>10</v>
      </c>
      <c r="I56" s="2" t="s">
        <v>27</v>
      </c>
      <c r="J56" s="2" t="s">
        <v>153</v>
      </c>
      <c r="K56" s="2">
        <f>91-5555555555</f>
        <v>-5555555464</v>
      </c>
      <c r="L56" s="2" t="s">
        <v>154</v>
      </c>
      <c r="M56" s="2">
        <v>23055</v>
      </c>
    </row>
    <row r="57" spans="5:13" ht="14.25" customHeight="1" x14ac:dyDescent="0.3">
      <c r="E57" s="2">
        <v>50</v>
      </c>
      <c r="F57" s="2" t="s">
        <v>155</v>
      </c>
      <c r="G57" s="2">
        <v>30</v>
      </c>
      <c r="H57" s="2" t="s">
        <v>16</v>
      </c>
      <c r="I57" s="2" t="s">
        <v>31</v>
      </c>
      <c r="J57" s="2" t="s">
        <v>156</v>
      </c>
      <c r="K57" s="2"/>
      <c r="L57" s="2" t="s">
        <v>157</v>
      </c>
      <c r="M57" s="2">
        <v>18647</v>
      </c>
    </row>
    <row r="58" spans="5:13" ht="14.25" customHeight="1" x14ac:dyDescent="0.3"/>
    <row r="59" spans="5:13" ht="14.25" customHeight="1" x14ac:dyDescent="0.3"/>
    <row r="60" spans="5:13" ht="14.25" customHeight="1" x14ac:dyDescent="0.3"/>
    <row r="61" spans="5:13" ht="14.25" customHeight="1" x14ac:dyDescent="0.3"/>
    <row r="62" spans="5:13" ht="14.25" customHeight="1" x14ac:dyDescent="0.3"/>
    <row r="63" spans="5:13" ht="14.25" customHeight="1" x14ac:dyDescent="0.3"/>
    <row r="64" spans="5:13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portrait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7815-1F6E-4D7D-9898-A5F7B0F085BA}">
  <dimension ref="A1:M51"/>
  <sheetViews>
    <sheetView workbookViewId="0">
      <selection activeCell="K6" sqref="K6"/>
    </sheetView>
  </sheetViews>
  <sheetFormatPr defaultRowHeight="14.4" x14ac:dyDescent="0.3"/>
  <cols>
    <col min="1" max="1" width="9.21875" style="3" customWidth="1"/>
    <col min="2" max="2" width="13.6640625" style="3" customWidth="1"/>
    <col min="3" max="4" width="8.88671875" style="3"/>
    <col min="5" max="5" width="19.5546875" style="3" customWidth="1"/>
    <col min="6" max="6" width="25.109375" style="3" bestFit="1" customWidth="1"/>
    <col min="7" max="7" width="14.5546875" style="3" customWidth="1"/>
    <col min="8" max="8" width="17" style="3" customWidth="1"/>
    <col min="9" max="9" width="8.88671875" style="3"/>
    <col min="10" max="10" width="16.88671875" style="3" customWidth="1"/>
    <col min="11" max="16384" width="8.88671875" style="3"/>
  </cols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3" t="s">
        <v>207</v>
      </c>
    </row>
    <row r="2" spans="1:13" x14ac:dyDescent="0.3">
      <c r="A2" s="4">
        <v>1</v>
      </c>
      <c r="B2" s="4" t="s">
        <v>9</v>
      </c>
      <c r="C2" s="4">
        <v>32</v>
      </c>
      <c r="D2" s="4" t="s">
        <v>10</v>
      </c>
      <c r="E2" s="4" t="s">
        <v>11</v>
      </c>
      <c r="F2" s="4" t="s">
        <v>12</v>
      </c>
      <c r="G2" s="4" t="s">
        <v>13</v>
      </c>
      <c r="H2" s="4" t="s">
        <v>14</v>
      </c>
      <c r="I2" s="4">
        <v>4553</v>
      </c>
      <c r="J2" s="3" t="str">
        <f t="shared" ref="J2:J33" si="0">IF(B2&lt;&gt;"",B2,LEFT(F2,FIND("@",F2)-1))</f>
        <v>John Doe</v>
      </c>
    </row>
    <row r="3" spans="1:13" x14ac:dyDescent="0.3">
      <c r="A3" s="4">
        <v>2</v>
      </c>
      <c r="B3" s="4" t="s">
        <v>15</v>
      </c>
      <c r="C3" s="4">
        <v>28</v>
      </c>
      <c r="D3" s="4" t="s">
        <v>16</v>
      </c>
      <c r="E3" s="4" t="s">
        <v>17</v>
      </c>
      <c r="F3" s="4" t="s">
        <v>18</v>
      </c>
      <c r="G3" s="4" t="s">
        <v>19</v>
      </c>
      <c r="H3" s="4" t="s">
        <v>20</v>
      </c>
      <c r="I3" s="4">
        <v>31169</v>
      </c>
      <c r="J3" s="3" t="str">
        <f t="shared" si="0"/>
        <v>Jane Smith</v>
      </c>
    </row>
    <row r="4" spans="1:13" x14ac:dyDescent="0.3">
      <c r="A4" s="4">
        <v>3</v>
      </c>
      <c r="B4" s="4" t="s">
        <v>21</v>
      </c>
      <c r="C4" s="4">
        <v>27</v>
      </c>
      <c r="D4" s="4" t="s">
        <v>10</v>
      </c>
      <c r="E4" s="4" t="s">
        <v>22</v>
      </c>
      <c r="F4" s="4" t="s">
        <v>23</v>
      </c>
      <c r="G4" s="4" t="s">
        <v>24</v>
      </c>
      <c r="H4" s="4" t="s">
        <v>25</v>
      </c>
      <c r="I4" s="4">
        <v>11116</v>
      </c>
      <c r="J4" s="3" t="str">
        <f t="shared" si="0"/>
        <v>Amit Patel</v>
      </c>
    </row>
    <row r="5" spans="1:13" x14ac:dyDescent="0.3">
      <c r="A5" s="4">
        <v>4</v>
      </c>
      <c r="B5" s="4" t="s">
        <v>26</v>
      </c>
      <c r="C5" s="4">
        <v>33</v>
      </c>
      <c r="D5" s="4" t="s">
        <v>16</v>
      </c>
      <c r="E5" s="4" t="s">
        <v>27</v>
      </c>
      <c r="F5" s="4" t="s">
        <v>28</v>
      </c>
      <c r="G5" s="4" t="s">
        <v>29</v>
      </c>
      <c r="H5" s="4" t="s">
        <v>30</v>
      </c>
      <c r="I5" s="4">
        <v>33457</v>
      </c>
      <c r="J5" s="3" t="str">
        <f t="shared" si="0"/>
        <v>Priya Sharma</v>
      </c>
    </row>
    <row r="6" spans="1:13" x14ac:dyDescent="0.3">
      <c r="A6" s="4">
        <v>5</v>
      </c>
      <c r="B6" s="4" t="str">
        <f>IF(B2&lt;&gt;"",B2,LEFT(F2,FIND("@",F2)-1))</f>
        <v>John Doe</v>
      </c>
      <c r="C6" s="4">
        <v>29</v>
      </c>
      <c r="D6" s="4" t="s">
        <v>16</v>
      </c>
      <c r="E6" s="4" t="s">
        <v>31</v>
      </c>
      <c r="F6" s="4" t="s">
        <v>32</v>
      </c>
      <c r="G6" s="4"/>
      <c r="H6" s="4"/>
      <c r="I6" s="4">
        <v>21918</v>
      </c>
      <c r="J6" s="3" t="str">
        <f t="shared" si="0"/>
        <v>John Doe</v>
      </c>
      <c r="M6" s="3">
        <v>1</v>
      </c>
    </row>
    <row r="7" spans="1:13" x14ac:dyDescent="0.3">
      <c r="A7" s="4">
        <v>6</v>
      </c>
      <c r="B7" s="4" t="s">
        <v>33</v>
      </c>
      <c r="C7" s="4">
        <v>34</v>
      </c>
      <c r="D7" s="4" t="s">
        <v>10</v>
      </c>
      <c r="E7" s="4" t="s">
        <v>34</v>
      </c>
      <c r="F7" s="4" t="s">
        <v>35</v>
      </c>
      <c r="G7" s="4"/>
      <c r="H7" s="4" t="s">
        <v>36</v>
      </c>
      <c r="I7" s="4">
        <v>33418</v>
      </c>
      <c r="J7" s="3" t="str">
        <f t="shared" si="0"/>
        <v>Rakesh Kumar</v>
      </c>
    </row>
    <row r="8" spans="1:13" x14ac:dyDescent="0.3">
      <c r="A8" s="4">
        <v>7</v>
      </c>
      <c r="B8" s="4" t="s">
        <v>37</v>
      </c>
      <c r="C8" s="4">
        <v>25</v>
      </c>
      <c r="D8" s="4" t="s">
        <v>16</v>
      </c>
      <c r="E8" s="4" t="s">
        <v>22</v>
      </c>
      <c r="F8" s="4"/>
      <c r="G8" s="4" t="s">
        <v>38</v>
      </c>
      <c r="H8" s="4" t="s">
        <v>39</v>
      </c>
      <c r="I8" s="4">
        <v>45828</v>
      </c>
      <c r="J8" s="3" t="str">
        <f t="shared" si="0"/>
        <v>Divya Singh</v>
      </c>
    </row>
    <row r="9" spans="1:13" x14ac:dyDescent="0.3">
      <c r="A9" s="4">
        <v>8</v>
      </c>
      <c r="B9" s="4" t="s">
        <v>40</v>
      </c>
      <c r="C9" s="4">
        <v>31</v>
      </c>
      <c r="D9" s="4" t="s">
        <v>10</v>
      </c>
      <c r="E9" s="4" t="s">
        <v>27</v>
      </c>
      <c r="F9" s="4" t="s">
        <v>41</v>
      </c>
      <c r="G9" s="4">
        <f>91-8888888888</f>
        <v>-8888888797</v>
      </c>
      <c r="H9" s="4"/>
      <c r="I9" s="4">
        <v>45450</v>
      </c>
      <c r="J9" s="3" t="str">
        <f t="shared" si="0"/>
        <v>Aman Verma</v>
      </c>
    </row>
    <row r="10" spans="1:13" x14ac:dyDescent="0.3">
      <c r="A10" s="4">
        <v>9</v>
      </c>
      <c r="B10" s="4" t="s">
        <v>42</v>
      </c>
      <c r="C10" s="4">
        <v>27</v>
      </c>
      <c r="D10" s="4" t="s">
        <v>16</v>
      </c>
      <c r="E10" s="4" t="s">
        <v>31</v>
      </c>
      <c r="F10" s="4" t="s">
        <v>43</v>
      </c>
      <c r="G10" s="4">
        <f>91-7777777777</f>
        <v>-7777777686</v>
      </c>
      <c r="H10" s="4" t="s">
        <v>44</v>
      </c>
      <c r="I10" s="4">
        <v>49938</v>
      </c>
      <c r="J10" s="3" t="str">
        <f t="shared" si="0"/>
        <v>Neha Gupta</v>
      </c>
    </row>
    <row r="11" spans="1:13" x14ac:dyDescent="0.3">
      <c r="A11" s="4">
        <v>10</v>
      </c>
      <c r="B11" s="4" t="str">
        <f>IF(B2&lt;&gt;"",B2,LEFT(F2,FIND("@",F2)-1))</f>
        <v>John Doe</v>
      </c>
      <c r="C11" s="4">
        <v>35</v>
      </c>
      <c r="D11" s="4" t="s">
        <v>10</v>
      </c>
      <c r="E11" s="4" t="s">
        <v>11</v>
      </c>
      <c r="F11" s="4" t="s">
        <v>45</v>
      </c>
      <c r="G11" s="4"/>
      <c r="H11" s="4" t="s">
        <v>46</v>
      </c>
      <c r="I11" s="4">
        <v>9818</v>
      </c>
      <c r="J11" s="3" t="str">
        <f t="shared" si="0"/>
        <v>John Doe</v>
      </c>
    </row>
    <row r="12" spans="1:13" x14ac:dyDescent="0.3">
      <c r="A12" s="4">
        <v>11</v>
      </c>
      <c r="B12" s="4" t="s">
        <v>47</v>
      </c>
      <c r="C12" s="4"/>
      <c r="D12" s="4" t="s">
        <v>16</v>
      </c>
      <c r="E12" s="4" t="s">
        <v>17</v>
      </c>
      <c r="F12" s="4" t="s">
        <v>48</v>
      </c>
      <c r="G12" s="4">
        <f>91-6666666666</f>
        <v>-6666666575</v>
      </c>
      <c r="H12" s="4" t="s">
        <v>49</v>
      </c>
      <c r="I12" s="4">
        <v>41836</v>
      </c>
      <c r="J12" s="3" t="str">
        <f t="shared" si="0"/>
        <v>Vinita Kapoor</v>
      </c>
    </row>
    <row r="13" spans="1:13" x14ac:dyDescent="0.3">
      <c r="A13" s="4">
        <v>12</v>
      </c>
      <c r="B13" s="4" t="s">
        <v>50</v>
      </c>
      <c r="C13" s="4">
        <v>29</v>
      </c>
      <c r="D13" s="4" t="s">
        <v>10</v>
      </c>
      <c r="E13" s="4" t="s">
        <v>17</v>
      </c>
      <c r="F13" s="4" t="s">
        <v>51</v>
      </c>
      <c r="G13" s="4">
        <f>91-5555555555</f>
        <v>-5555555464</v>
      </c>
      <c r="H13" s="4" t="s">
        <v>52</v>
      </c>
      <c r="I13" s="4">
        <v>11901</v>
      </c>
      <c r="J13" s="3" t="str">
        <f t="shared" si="0"/>
        <v>Rajeev Kumar</v>
      </c>
    </row>
    <row r="14" spans="1:13" x14ac:dyDescent="0.3">
      <c r="A14" s="4">
        <v>13</v>
      </c>
      <c r="B14" s="4" t="str">
        <f>IF(B2&lt;&gt;"",B2,LEFT(F2,FIND("@",F2)-1))</f>
        <v>John Doe</v>
      </c>
      <c r="C14" s="4">
        <v>26</v>
      </c>
      <c r="D14" s="4" t="s">
        <v>10</v>
      </c>
      <c r="E14" s="4" t="s">
        <v>53</v>
      </c>
      <c r="F14" s="4"/>
      <c r="G14" s="4">
        <f>91-7777777777</f>
        <v>-7777777686</v>
      </c>
      <c r="H14" s="4" t="s">
        <v>54</v>
      </c>
      <c r="I14" s="4">
        <v>46236</v>
      </c>
      <c r="J14" s="3" t="str">
        <f t="shared" si="0"/>
        <v>John Doe</v>
      </c>
    </row>
    <row r="15" spans="1:13" x14ac:dyDescent="0.3">
      <c r="A15" s="4">
        <v>14</v>
      </c>
      <c r="B15" s="4"/>
      <c r="C15" s="4">
        <v>28</v>
      </c>
      <c r="D15" s="4" t="s">
        <v>16</v>
      </c>
      <c r="E15" s="4" t="s">
        <v>56</v>
      </c>
      <c r="F15" s="4" t="s">
        <v>57</v>
      </c>
      <c r="G15" s="4"/>
      <c r="H15" s="4" t="s">
        <v>58</v>
      </c>
      <c r="I15" s="4">
        <v>21978</v>
      </c>
      <c r="J15" s="3" t="str">
        <f t="shared" si="0"/>
        <v>swati.singh</v>
      </c>
    </row>
    <row r="16" spans="1:13" x14ac:dyDescent="0.3">
      <c r="A16" s="4">
        <v>15</v>
      </c>
      <c r="B16" s="4"/>
      <c r="C16" s="4">
        <v>30</v>
      </c>
      <c r="D16" s="4" t="s">
        <v>16</v>
      </c>
      <c r="E16" s="4" t="s">
        <v>59</v>
      </c>
      <c r="F16" s="4" t="s">
        <v>60</v>
      </c>
      <c r="G16" s="4">
        <f>91-8888888888</f>
        <v>-8888888797</v>
      </c>
      <c r="H16" s="4"/>
      <c r="I16" s="4">
        <v>49400</v>
      </c>
      <c r="J16" s="3" t="str">
        <f t="shared" si="0"/>
        <v>kavita.sharma</v>
      </c>
    </row>
    <row r="17" spans="1:10" x14ac:dyDescent="0.3">
      <c r="A17" s="4">
        <v>16</v>
      </c>
      <c r="B17" s="4" t="s">
        <v>61</v>
      </c>
      <c r="C17" s="4">
        <v>32</v>
      </c>
      <c r="D17" s="4" t="s">
        <v>10</v>
      </c>
      <c r="E17" s="4" t="s">
        <v>62</v>
      </c>
      <c r="F17" s="4" t="s">
        <v>63</v>
      </c>
      <c r="G17" s="4">
        <f>91-1234567890</f>
        <v>-1234567799</v>
      </c>
      <c r="H17" s="4" t="s">
        <v>64</v>
      </c>
      <c r="I17" s="4">
        <v>28476</v>
      </c>
      <c r="J17" s="3" t="str">
        <f t="shared" si="0"/>
        <v>Manish Patel</v>
      </c>
    </row>
    <row r="18" spans="1:10" x14ac:dyDescent="0.3">
      <c r="A18" s="4">
        <v>17</v>
      </c>
      <c r="B18" s="4" t="s">
        <v>65</v>
      </c>
      <c r="C18" s="4">
        <v>26</v>
      </c>
      <c r="D18" s="4" t="s">
        <v>16</v>
      </c>
      <c r="E18" s="4" t="s">
        <v>66</v>
      </c>
      <c r="F18" s="4" t="s">
        <v>67</v>
      </c>
      <c r="G18" s="4">
        <f>91-8765432109</f>
        <v>-8765432018</v>
      </c>
      <c r="H18" s="4"/>
      <c r="I18" s="4">
        <v>40088</v>
      </c>
      <c r="J18" s="3" t="str">
        <f t="shared" si="0"/>
        <v>Priyanka Jain</v>
      </c>
    </row>
    <row r="19" spans="1:10" x14ac:dyDescent="0.3">
      <c r="A19" s="4">
        <v>18</v>
      </c>
      <c r="B19" s="4" t="s">
        <v>68</v>
      </c>
      <c r="C19" s="4">
        <v>28</v>
      </c>
      <c r="D19" s="4" t="s">
        <v>10</v>
      </c>
      <c r="E19" s="4" t="s">
        <v>34</v>
      </c>
      <c r="F19" s="4" t="s">
        <v>69</v>
      </c>
      <c r="G19" s="4">
        <f>91-9876543210</f>
        <v>-9876543119</v>
      </c>
      <c r="H19" s="4" t="s">
        <v>70</v>
      </c>
      <c r="I19" s="4">
        <v>2949</v>
      </c>
      <c r="J19" s="3" t="str">
        <f t="shared" si="0"/>
        <v>Rohit Sharma</v>
      </c>
    </row>
    <row r="20" spans="1:10" x14ac:dyDescent="0.3">
      <c r="A20" s="4">
        <v>19</v>
      </c>
      <c r="B20" s="4" t="s">
        <v>71</v>
      </c>
      <c r="C20" s="4">
        <v>30</v>
      </c>
      <c r="D20" s="4" t="s">
        <v>16</v>
      </c>
      <c r="E20" s="4" t="s">
        <v>34</v>
      </c>
      <c r="F20" s="4" t="s">
        <v>72</v>
      </c>
      <c r="G20" s="4">
        <f>91-5555555555</f>
        <v>-5555555464</v>
      </c>
      <c r="H20" s="4" t="s">
        <v>73</v>
      </c>
      <c r="I20" s="4">
        <v>3337</v>
      </c>
      <c r="J20" s="3" t="str">
        <f t="shared" si="0"/>
        <v>Deepika Singh</v>
      </c>
    </row>
    <row r="21" spans="1:10" x14ac:dyDescent="0.3">
      <c r="A21" s="4">
        <v>20</v>
      </c>
      <c r="B21" s="4"/>
      <c r="C21" s="4">
        <v>32</v>
      </c>
      <c r="D21" s="4" t="s">
        <v>10</v>
      </c>
      <c r="E21" s="4" t="s">
        <v>59</v>
      </c>
      <c r="F21" s="4" t="s">
        <v>74</v>
      </c>
      <c r="G21" s="4">
        <f>91-9999999999</f>
        <v>-9999999908</v>
      </c>
      <c r="H21" s="4"/>
      <c r="I21" s="4">
        <v>2857</v>
      </c>
      <c r="J21" s="3" t="str">
        <f t="shared" si="0"/>
        <v>vikas.joshi</v>
      </c>
    </row>
    <row r="22" spans="1:10" x14ac:dyDescent="0.3">
      <c r="A22" s="4">
        <v>21</v>
      </c>
      <c r="B22" s="4" t="s">
        <v>75</v>
      </c>
      <c r="C22" s="4">
        <v>26</v>
      </c>
      <c r="D22" s="4" t="s">
        <v>16</v>
      </c>
      <c r="E22" s="4" t="s">
        <v>62</v>
      </c>
      <c r="F22" s="4" t="s">
        <v>76</v>
      </c>
      <c r="G22" s="4"/>
      <c r="H22" s="4" t="s">
        <v>77</v>
      </c>
      <c r="I22" s="4">
        <v>35969</v>
      </c>
      <c r="J22" s="3" t="str">
        <f t="shared" si="0"/>
        <v>Nisha Verma</v>
      </c>
    </row>
    <row r="23" spans="1:10" x14ac:dyDescent="0.3">
      <c r="A23" s="4">
        <v>22</v>
      </c>
      <c r="B23" s="4" t="s">
        <v>78</v>
      </c>
      <c r="C23" s="4">
        <v>33</v>
      </c>
      <c r="D23" s="4" t="s">
        <v>10</v>
      </c>
      <c r="E23" s="4" t="s">
        <v>66</v>
      </c>
      <c r="F23" s="4" t="s">
        <v>79</v>
      </c>
      <c r="G23" s="4">
        <f>91-8888888888</f>
        <v>-8888888797</v>
      </c>
      <c r="H23" s="4" t="s">
        <v>80</v>
      </c>
      <c r="I23" s="4">
        <v>49681</v>
      </c>
      <c r="J23" s="3" t="str">
        <f t="shared" si="0"/>
        <v>Manoj Kumar</v>
      </c>
    </row>
    <row r="24" spans="1:10" x14ac:dyDescent="0.3">
      <c r="A24" s="4">
        <v>23</v>
      </c>
      <c r="B24" s="4"/>
      <c r="C24" s="4">
        <v>27</v>
      </c>
      <c r="D24" s="4" t="s">
        <v>16</v>
      </c>
      <c r="E24" s="4" t="s">
        <v>34</v>
      </c>
      <c r="F24" s="4"/>
      <c r="G24" s="4">
        <f>91-7777777777</f>
        <v>-7777777686</v>
      </c>
      <c r="H24" s="4" t="s">
        <v>81</v>
      </c>
      <c r="I24" s="4">
        <v>45102</v>
      </c>
      <c r="J24" s="3" t="e">
        <f t="shared" si="0"/>
        <v>#VALUE!</v>
      </c>
    </row>
    <row r="25" spans="1:10" x14ac:dyDescent="0.3">
      <c r="A25" s="4">
        <v>24</v>
      </c>
      <c r="B25" s="4" t="s">
        <v>82</v>
      </c>
      <c r="C25" s="4">
        <v>29</v>
      </c>
      <c r="D25" s="4" t="s">
        <v>10</v>
      </c>
      <c r="E25" s="4" t="s">
        <v>11</v>
      </c>
      <c r="F25" s="4" t="s">
        <v>83</v>
      </c>
      <c r="G25" s="4" t="s">
        <v>84</v>
      </c>
      <c r="H25" s="4"/>
      <c r="I25" s="4">
        <v>15853</v>
      </c>
      <c r="J25" s="3" t="str">
        <f t="shared" si="0"/>
        <v>Sanjay Gupta</v>
      </c>
    </row>
    <row r="26" spans="1:10" x14ac:dyDescent="0.3">
      <c r="A26" s="4">
        <v>25</v>
      </c>
      <c r="B26" s="4" t="s">
        <v>85</v>
      </c>
      <c r="C26" s="4"/>
      <c r="D26" s="4" t="s">
        <v>16</v>
      </c>
      <c r="E26" s="4" t="s">
        <v>17</v>
      </c>
      <c r="F26" s="4" t="s">
        <v>86</v>
      </c>
      <c r="G26" s="4">
        <f>91-5555555555</f>
        <v>-5555555464</v>
      </c>
      <c r="H26" s="4" t="s">
        <v>87</v>
      </c>
      <c r="I26" s="4">
        <v>6926</v>
      </c>
      <c r="J26" s="3" t="str">
        <f t="shared" si="0"/>
        <v>Anjali Sharma</v>
      </c>
    </row>
    <row r="27" spans="1:10" x14ac:dyDescent="0.3">
      <c r="A27" s="4">
        <v>26</v>
      </c>
      <c r="B27" s="4" t="s">
        <v>88</v>
      </c>
      <c r="C27" s="4">
        <v>31</v>
      </c>
      <c r="D27" s="4" t="s">
        <v>10</v>
      </c>
      <c r="E27" s="4" t="s">
        <v>59</v>
      </c>
      <c r="F27" s="4" t="s">
        <v>89</v>
      </c>
      <c r="G27" s="4"/>
      <c r="H27" s="4" t="s">
        <v>90</v>
      </c>
      <c r="I27" s="4">
        <v>45678</v>
      </c>
      <c r="J27" s="3" t="str">
        <f t="shared" si="0"/>
        <v>Akash Patel</v>
      </c>
    </row>
    <row r="28" spans="1:10" x14ac:dyDescent="0.3">
      <c r="A28" s="4">
        <v>27</v>
      </c>
      <c r="B28" s="4" t="s">
        <v>91</v>
      </c>
      <c r="C28" s="4">
        <v>28</v>
      </c>
      <c r="D28" s="4" t="s">
        <v>16</v>
      </c>
      <c r="E28" s="4" t="s">
        <v>62</v>
      </c>
      <c r="F28" s="4" t="s">
        <v>92</v>
      </c>
      <c r="G28" s="4">
        <f>91-7777777777</f>
        <v>-7777777686</v>
      </c>
      <c r="H28" s="4" t="s">
        <v>93</v>
      </c>
      <c r="I28" s="4">
        <v>8022</v>
      </c>
      <c r="J28" s="3" t="str">
        <f t="shared" si="0"/>
        <v>Preeti Singh</v>
      </c>
    </row>
    <row r="29" spans="1:10" x14ac:dyDescent="0.3">
      <c r="A29" s="4">
        <v>28</v>
      </c>
      <c r="B29" s="4" t="s">
        <v>94</v>
      </c>
      <c r="C29" s="4">
        <v>34</v>
      </c>
      <c r="D29" s="4" t="s">
        <v>10</v>
      </c>
      <c r="E29" s="4" t="s">
        <v>66</v>
      </c>
      <c r="F29" s="4" t="s">
        <v>95</v>
      </c>
      <c r="G29" s="4">
        <f>91-8888888888</f>
        <v>-8888888797</v>
      </c>
      <c r="H29" s="4" t="s">
        <v>96</v>
      </c>
      <c r="I29" s="4">
        <v>3484</v>
      </c>
      <c r="J29" s="3" t="str">
        <f t="shared" si="0"/>
        <v>Ravi Kumar</v>
      </c>
    </row>
    <row r="30" spans="1:10" x14ac:dyDescent="0.3">
      <c r="A30" s="4">
        <v>29</v>
      </c>
      <c r="B30" s="4" t="s">
        <v>97</v>
      </c>
      <c r="C30" s="4">
        <v>26</v>
      </c>
      <c r="D30" s="4" t="s">
        <v>16</v>
      </c>
      <c r="E30" s="4" t="s">
        <v>22</v>
      </c>
      <c r="F30" s="4" t="s">
        <v>98</v>
      </c>
      <c r="G30" s="4">
        <f>91-7777777777</f>
        <v>-7777777686</v>
      </c>
      <c r="H30" s="4" t="s">
        <v>99</v>
      </c>
      <c r="I30" s="4">
        <v>11342</v>
      </c>
      <c r="J30" s="3" t="str">
        <f t="shared" si="0"/>
        <v>Swati Mishra</v>
      </c>
    </row>
    <row r="31" spans="1:10" x14ac:dyDescent="0.3">
      <c r="A31" s="4">
        <v>30</v>
      </c>
      <c r="B31" s="4"/>
      <c r="C31" s="4">
        <v>29</v>
      </c>
      <c r="D31" s="4" t="s">
        <v>10</v>
      </c>
      <c r="E31" s="4" t="s">
        <v>27</v>
      </c>
      <c r="F31" s="4" t="s">
        <v>100</v>
      </c>
      <c r="G31" s="4"/>
      <c r="H31" s="4" t="s">
        <v>101</v>
      </c>
      <c r="I31" s="4">
        <v>40940</v>
      </c>
      <c r="J31" s="3" t="str">
        <f t="shared" si="0"/>
        <v>ankit.singh</v>
      </c>
    </row>
    <row r="32" spans="1:10" x14ac:dyDescent="0.3">
      <c r="A32" s="4">
        <v>31</v>
      </c>
      <c r="B32" s="4" t="s">
        <v>42</v>
      </c>
      <c r="C32" s="4">
        <v>27</v>
      </c>
      <c r="D32" s="4" t="s">
        <v>16</v>
      </c>
      <c r="E32" s="4" t="s">
        <v>31</v>
      </c>
      <c r="F32" s="4" t="s">
        <v>102</v>
      </c>
      <c r="G32" s="4">
        <f>91-5555555555</f>
        <v>-5555555464</v>
      </c>
      <c r="H32" s="4"/>
      <c r="I32" s="4">
        <v>41841</v>
      </c>
      <c r="J32" s="3" t="str">
        <f t="shared" si="0"/>
        <v>Neha Gupta</v>
      </c>
    </row>
    <row r="33" spans="1:10" x14ac:dyDescent="0.3">
      <c r="A33" s="4">
        <v>32</v>
      </c>
      <c r="B33" s="4" t="s">
        <v>103</v>
      </c>
      <c r="C33" s="4">
        <v>32</v>
      </c>
      <c r="D33" s="4" t="s">
        <v>10</v>
      </c>
      <c r="E33" s="4" t="s">
        <v>59</v>
      </c>
      <c r="F33" s="4" t="s">
        <v>104</v>
      </c>
      <c r="G33" s="4"/>
      <c r="H33" s="4" t="s">
        <v>105</v>
      </c>
      <c r="I33" s="4">
        <v>39835</v>
      </c>
      <c r="J33" s="3" t="str">
        <f t="shared" si="0"/>
        <v>Rajeev Sharma</v>
      </c>
    </row>
    <row r="34" spans="1:10" x14ac:dyDescent="0.3">
      <c r="A34" s="4">
        <v>33</v>
      </c>
      <c r="B34" s="4"/>
      <c r="C34" s="4">
        <v>33</v>
      </c>
      <c r="D34" s="4" t="s">
        <v>16</v>
      </c>
      <c r="E34" s="4" t="s">
        <v>62</v>
      </c>
      <c r="F34" s="4" t="s">
        <v>106</v>
      </c>
      <c r="G34" s="4">
        <f>91-6666666666</f>
        <v>-6666666575</v>
      </c>
      <c r="H34" s="4" t="s">
        <v>107</v>
      </c>
      <c r="I34" s="4">
        <v>9577</v>
      </c>
      <c r="J34" s="3" t="str">
        <f t="shared" ref="J34:J51" si="1">IF(B34&lt;&gt;"",B34,LEFT(F34,FIND("@",F34)-1))</f>
        <v>sarika.patel</v>
      </c>
    </row>
    <row r="35" spans="1:10" x14ac:dyDescent="0.3">
      <c r="A35" s="4">
        <v>34</v>
      </c>
      <c r="B35" s="4" t="s">
        <v>108</v>
      </c>
      <c r="C35" s="4">
        <v>30</v>
      </c>
      <c r="D35" s="4" t="s">
        <v>10</v>
      </c>
      <c r="E35" s="4" t="s">
        <v>66</v>
      </c>
      <c r="F35" s="4" t="s">
        <v>109</v>
      </c>
      <c r="G35" s="4"/>
      <c r="H35" s="4" t="s">
        <v>110</v>
      </c>
      <c r="I35" s="4">
        <v>29480</v>
      </c>
      <c r="J35" s="3" t="str">
        <f t="shared" si="1"/>
        <v>Vinay Singh</v>
      </c>
    </row>
    <row r="36" spans="1:10" x14ac:dyDescent="0.3">
      <c r="A36" s="4">
        <v>35</v>
      </c>
      <c r="B36" s="4" t="s">
        <v>111</v>
      </c>
      <c r="C36" s="4"/>
      <c r="D36" s="4" t="s">
        <v>16</v>
      </c>
      <c r="E36" s="4" t="s">
        <v>22</v>
      </c>
      <c r="F36" s="4" t="s">
        <v>112</v>
      </c>
      <c r="G36" s="4">
        <f>91-5555555555</f>
        <v>-5555555464</v>
      </c>
      <c r="H36" s="4" t="s">
        <v>113</v>
      </c>
      <c r="I36" s="4">
        <v>14254</v>
      </c>
      <c r="J36" s="3" t="str">
        <f t="shared" si="1"/>
        <v>Priya Gupta</v>
      </c>
    </row>
    <row r="37" spans="1:10" x14ac:dyDescent="0.3">
      <c r="A37" s="4">
        <v>36</v>
      </c>
      <c r="B37" s="4" t="s">
        <v>114</v>
      </c>
      <c r="C37" s="4">
        <v>29</v>
      </c>
      <c r="D37" s="4" t="s">
        <v>10</v>
      </c>
      <c r="E37" s="4" t="s">
        <v>27</v>
      </c>
      <c r="F37" s="4" t="s">
        <v>115</v>
      </c>
      <c r="G37" s="4">
        <f>91-7777777777</f>
        <v>-7777777686</v>
      </c>
      <c r="H37" s="4" t="s">
        <v>116</v>
      </c>
      <c r="I37" s="4">
        <v>37358</v>
      </c>
      <c r="J37" s="3" t="str">
        <f t="shared" si="1"/>
        <v>Sushant Patel</v>
      </c>
    </row>
    <row r="38" spans="1:10" x14ac:dyDescent="0.3">
      <c r="A38" s="4">
        <v>37</v>
      </c>
      <c r="B38" s="4"/>
      <c r="C38" s="4">
        <v>31</v>
      </c>
      <c r="D38" s="4" t="s">
        <v>16</v>
      </c>
      <c r="E38" s="4" t="s">
        <v>31</v>
      </c>
      <c r="F38" s="4" t="s">
        <v>117</v>
      </c>
      <c r="G38" s="4"/>
      <c r="H38" s="4" t="s">
        <v>118</v>
      </c>
      <c r="I38" s="4">
        <v>48367</v>
      </c>
      <c r="J38" s="3" t="str">
        <f t="shared" si="1"/>
        <v>payal.sharma</v>
      </c>
    </row>
    <row r="39" spans="1:10" x14ac:dyDescent="0.3">
      <c r="A39" s="4">
        <v>38</v>
      </c>
      <c r="B39" s="4" t="s">
        <v>119</v>
      </c>
      <c r="C39" s="4">
        <v>28</v>
      </c>
      <c r="D39" s="4" t="s">
        <v>10</v>
      </c>
      <c r="E39" s="4" t="s">
        <v>120</v>
      </c>
      <c r="F39" s="4" t="s">
        <v>121</v>
      </c>
      <c r="G39" s="4">
        <f>91-8888888888</f>
        <v>-8888888797</v>
      </c>
      <c r="H39" s="4" t="s">
        <v>122</v>
      </c>
      <c r="I39" s="4">
        <v>37473</v>
      </c>
      <c r="J39" s="3" t="str">
        <f t="shared" si="1"/>
        <v>Mohit Verma</v>
      </c>
    </row>
    <row r="40" spans="1:10" x14ac:dyDescent="0.3">
      <c r="A40" s="4">
        <v>39</v>
      </c>
      <c r="B40" s="4" t="s">
        <v>123</v>
      </c>
      <c r="C40" s="4">
        <v>33</v>
      </c>
      <c r="D40" s="4" t="s">
        <v>16</v>
      </c>
      <c r="E40" s="4" t="s">
        <v>124</v>
      </c>
      <c r="F40" s="4" t="s">
        <v>125</v>
      </c>
      <c r="G40" s="4">
        <f>91-9999999999</f>
        <v>-9999999908</v>
      </c>
      <c r="H40" s="4" t="s">
        <v>126</v>
      </c>
      <c r="I40" s="4">
        <v>30628</v>
      </c>
      <c r="J40" s="3" t="str">
        <f t="shared" si="1"/>
        <v>Kavita Singh</v>
      </c>
    </row>
    <row r="41" spans="1:10" x14ac:dyDescent="0.3">
      <c r="A41" s="4">
        <v>40</v>
      </c>
      <c r="B41" s="4" t="s">
        <v>127</v>
      </c>
      <c r="C41" s="4">
        <v>30</v>
      </c>
      <c r="D41" s="4" t="s">
        <v>10</v>
      </c>
      <c r="E41" s="4" t="s">
        <v>128</v>
      </c>
      <c r="F41" s="4" t="s">
        <v>129</v>
      </c>
      <c r="G41" s="4"/>
      <c r="H41" s="4" t="s">
        <v>130</v>
      </c>
      <c r="I41" s="4">
        <v>22018</v>
      </c>
      <c r="J41" s="3" t="str">
        <f t="shared" si="1"/>
        <v>Ankit Patel</v>
      </c>
    </row>
    <row r="42" spans="1:10" x14ac:dyDescent="0.3">
      <c r="A42" s="4">
        <v>41</v>
      </c>
      <c r="B42" s="4" t="s">
        <v>131</v>
      </c>
      <c r="C42" s="4">
        <v>27</v>
      </c>
      <c r="D42" s="4" t="s">
        <v>16</v>
      </c>
      <c r="E42" s="4" t="s">
        <v>34</v>
      </c>
      <c r="F42" s="4" t="s">
        <v>132</v>
      </c>
      <c r="G42" s="4">
        <f>91-7777777777</f>
        <v>-7777777686</v>
      </c>
      <c r="H42" s="4" t="s">
        <v>133</v>
      </c>
      <c r="I42" s="4">
        <v>35747</v>
      </c>
      <c r="J42" s="3" t="str">
        <f t="shared" si="1"/>
        <v>Pooja Mishra</v>
      </c>
    </row>
    <row r="43" spans="1:10" x14ac:dyDescent="0.3">
      <c r="A43" s="4">
        <v>42</v>
      </c>
      <c r="B43" s="4" t="s">
        <v>134</v>
      </c>
      <c r="C43" s="4">
        <v>29</v>
      </c>
      <c r="D43" s="4" t="s">
        <v>10</v>
      </c>
      <c r="E43" s="4" t="s">
        <v>31</v>
      </c>
      <c r="F43" s="4" t="s">
        <v>135</v>
      </c>
      <c r="G43" s="4"/>
      <c r="H43" s="4" t="s">
        <v>136</v>
      </c>
      <c r="I43" s="4">
        <v>32258</v>
      </c>
      <c r="J43" s="3" t="str">
        <f t="shared" si="1"/>
        <v>Mohan Kumar</v>
      </c>
    </row>
    <row r="44" spans="1:10" x14ac:dyDescent="0.3">
      <c r="A44" s="4">
        <v>43</v>
      </c>
      <c r="B44" s="4" t="s">
        <v>137</v>
      </c>
      <c r="C44" s="4">
        <v>26</v>
      </c>
      <c r="D44" s="4" t="s">
        <v>16</v>
      </c>
      <c r="E44" s="4" t="s">
        <v>59</v>
      </c>
      <c r="F44" s="4" t="s">
        <v>138</v>
      </c>
      <c r="G44" s="4">
        <f>91-5555555555</f>
        <v>-5555555464</v>
      </c>
      <c r="H44" s="4" t="s">
        <v>139</v>
      </c>
      <c r="I44" s="4">
        <v>31047</v>
      </c>
      <c r="J44" s="3" t="str">
        <f t="shared" si="1"/>
        <v>Anjali Gupta</v>
      </c>
    </row>
    <row r="45" spans="1:10" x14ac:dyDescent="0.3">
      <c r="A45" s="4">
        <v>44</v>
      </c>
      <c r="B45" s="4"/>
      <c r="C45" s="4">
        <v>28</v>
      </c>
      <c r="D45" s="4" t="s">
        <v>10</v>
      </c>
      <c r="E45" s="4" t="s">
        <v>62</v>
      </c>
      <c r="F45" s="4" t="s">
        <v>140</v>
      </c>
      <c r="G45" s="4"/>
      <c r="H45" s="4" t="s">
        <v>141</v>
      </c>
      <c r="I45" s="4">
        <v>31064</v>
      </c>
      <c r="J45" s="3" t="str">
        <f t="shared" si="1"/>
        <v>mukesh.sharma</v>
      </c>
    </row>
    <row r="46" spans="1:10" x14ac:dyDescent="0.3">
      <c r="A46" s="4">
        <v>45</v>
      </c>
      <c r="B46" s="4" t="s">
        <v>142</v>
      </c>
      <c r="C46" s="4">
        <v>31</v>
      </c>
      <c r="D46" s="4" t="s">
        <v>10</v>
      </c>
      <c r="E46" s="4" t="s">
        <v>66</v>
      </c>
      <c r="F46" s="4" t="s">
        <v>143</v>
      </c>
      <c r="G46" s="4">
        <f>91-8888888888</f>
        <v>-8888888797</v>
      </c>
      <c r="H46" s="4"/>
      <c r="I46" s="4">
        <v>3108</v>
      </c>
      <c r="J46" s="3" t="str">
        <f t="shared" si="1"/>
        <v>Arjun Singh</v>
      </c>
    </row>
    <row r="47" spans="1:10" x14ac:dyDescent="0.3">
      <c r="A47" s="4">
        <v>46</v>
      </c>
      <c r="B47" s="4" t="s">
        <v>144</v>
      </c>
      <c r="C47" s="4">
        <v>27</v>
      </c>
      <c r="D47" s="4" t="s">
        <v>16</v>
      </c>
      <c r="E47" s="4" t="s">
        <v>120</v>
      </c>
      <c r="F47" s="4" t="s">
        <v>145</v>
      </c>
      <c r="G47" s="4">
        <f>91-7777777777</f>
        <v>-7777777686</v>
      </c>
      <c r="H47" s="4" t="s">
        <v>146</v>
      </c>
      <c r="I47" s="4">
        <v>20205</v>
      </c>
      <c r="J47" s="3" t="str">
        <f t="shared" si="1"/>
        <v>Divya Patel</v>
      </c>
    </row>
    <row r="48" spans="1:10" x14ac:dyDescent="0.3">
      <c r="A48" s="4">
        <v>47</v>
      </c>
      <c r="B48" s="4"/>
      <c r="C48" s="4">
        <v>29</v>
      </c>
      <c r="D48" s="4" t="s">
        <v>10</v>
      </c>
      <c r="E48" s="4" t="s">
        <v>124</v>
      </c>
      <c r="F48" s="4" t="s">
        <v>147</v>
      </c>
      <c r="G48" s="4"/>
      <c r="H48" s="4" t="s">
        <v>148</v>
      </c>
      <c r="I48" s="4">
        <v>8746</v>
      </c>
      <c r="J48" s="3" t="str">
        <f t="shared" si="1"/>
        <v>gaurav.kumar</v>
      </c>
    </row>
    <row r="49" spans="1:10" x14ac:dyDescent="0.3">
      <c r="A49" s="4">
        <v>48</v>
      </c>
      <c r="B49" s="4" t="s">
        <v>149</v>
      </c>
      <c r="C49" s="4">
        <v>32</v>
      </c>
      <c r="D49" s="4" t="s">
        <v>16</v>
      </c>
      <c r="E49" s="4" t="s">
        <v>22</v>
      </c>
      <c r="F49" s="4" t="s">
        <v>150</v>
      </c>
      <c r="G49" s="4">
        <f>91-6666666666</f>
        <v>-6666666575</v>
      </c>
      <c r="H49" s="4" t="s">
        <v>151</v>
      </c>
      <c r="I49" s="4">
        <v>15531</v>
      </c>
      <c r="J49" s="3" t="str">
        <f t="shared" si="1"/>
        <v>Aditi Shah</v>
      </c>
    </row>
    <row r="50" spans="1:10" x14ac:dyDescent="0.3">
      <c r="A50" s="4">
        <v>49</v>
      </c>
      <c r="B50" s="4" t="s">
        <v>152</v>
      </c>
      <c r="C50" s="4"/>
      <c r="D50" s="4" t="s">
        <v>10</v>
      </c>
      <c r="E50" s="4" t="s">
        <v>27</v>
      </c>
      <c r="F50" s="4" t="s">
        <v>153</v>
      </c>
      <c r="G50" s="4">
        <f>91-5555555555</f>
        <v>-5555555464</v>
      </c>
      <c r="H50" s="4" t="s">
        <v>154</v>
      </c>
      <c r="I50" s="4">
        <v>23055</v>
      </c>
      <c r="J50" s="3" t="str">
        <f t="shared" si="1"/>
        <v>Sandeep Singh</v>
      </c>
    </row>
    <row r="51" spans="1:10" x14ac:dyDescent="0.3">
      <c r="A51" s="4">
        <v>50</v>
      </c>
      <c r="B51" s="4" t="s">
        <v>155</v>
      </c>
      <c r="C51" s="4">
        <v>30</v>
      </c>
      <c r="D51" s="4" t="s">
        <v>16</v>
      </c>
      <c r="E51" s="4" t="s">
        <v>31</v>
      </c>
      <c r="F51" s="4" t="s">
        <v>156</v>
      </c>
      <c r="G51" s="4"/>
      <c r="H51" s="4" t="s">
        <v>157</v>
      </c>
      <c r="I51" s="4">
        <v>18647</v>
      </c>
      <c r="J51" s="3" t="str">
        <f t="shared" si="1"/>
        <v>Shalini Sharma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5067E-1654-44B8-BA8D-9F803006B2F7}">
  <dimension ref="A1:J51"/>
  <sheetViews>
    <sheetView workbookViewId="0">
      <selection activeCell="L7" sqref="L7"/>
    </sheetView>
  </sheetViews>
  <sheetFormatPr defaultRowHeight="14.4" x14ac:dyDescent="0.3"/>
  <cols>
    <col min="2" max="2" width="11.109375" customWidth="1"/>
    <col min="5" max="5" width="15" customWidth="1"/>
    <col min="6" max="6" width="20.6640625" customWidth="1"/>
    <col min="7" max="7" width="20.109375" customWidth="1"/>
    <col min="8" max="8" width="36.5546875" bestFit="1" customWidth="1"/>
    <col min="9" max="9" width="6" bestFit="1" customWidth="1"/>
    <col min="10" max="10" width="9.10937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t="s">
        <v>207</v>
      </c>
    </row>
    <row r="2" spans="1:10" x14ac:dyDescent="0.3">
      <c r="A2" s="2">
        <v>1</v>
      </c>
      <c r="B2" s="2" t="s">
        <v>9</v>
      </c>
      <c r="C2" s="2">
        <v>32</v>
      </c>
      <c r="D2" s="2" t="s">
        <v>10</v>
      </c>
      <c r="E2" s="2" t="s">
        <v>11</v>
      </c>
      <c r="F2" s="2" t="s">
        <v>12</v>
      </c>
      <c r="G2" s="2" t="s">
        <v>13</v>
      </c>
      <c r="H2" s="2" t="s">
        <v>14</v>
      </c>
      <c r="I2" s="2">
        <v>4553</v>
      </c>
      <c r="J2">
        <f t="shared" ref="J2:J33" si="0">IF(ISBLANK(C2), AVERAGE($C$2:$C$51), C2)</f>
        <v>32</v>
      </c>
    </row>
    <row r="3" spans="1:10" x14ac:dyDescent="0.3">
      <c r="A3" s="2">
        <v>2</v>
      </c>
      <c r="B3" s="2" t="s">
        <v>15</v>
      </c>
      <c r="C3" s="2">
        <v>28</v>
      </c>
      <c r="D3" s="2" t="s">
        <v>16</v>
      </c>
      <c r="E3" s="2" t="s">
        <v>17</v>
      </c>
      <c r="F3" s="2" t="s">
        <v>18</v>
      </c>
      <c r="G3" s="2" t="s">
        <v>19</v>
      </c>
      <c r="H3" s="2" t="s">
        <v>20</v>
      </c>
      <c r="I3" s="2">
        <v>31169</v>
      </c>
      <c r="J3">
        <f t="shared" si="0"/>
        <v>28</v>
      </c>
    </row>
    <row r="4" spans="1:10" x14ac:dyDescent="0.3">
      <c r="A4" s="2">
        <v>3</v>
      </c>
      <c r="B4" s="2" t="s">
        <v>21</v>
      </c>
      <c r="C4" s="2">
        <v>27</v>
      </c>
      <c r="D4" s="2" t="s">
        <v>10</v>
      </c>
      <c r="E4" s="2" t="s">
        <v>22</v>
      </c>
      <c r="F4" s="2" t="s">
        <v>23</v>
      </c>
      <c r="G4" s="2" t="s">
        <v>24</v>
      </c>
      <c r="H4" s="2" t="s">
        <v>25</v>
      </c>
      <c r="I4" s="2">
        <v>11116</v>
      </c>
      <c r="J4">
        <f t="shared" si="0"/>
        <v>27</v>
      </c>
    </row>
    <row r="5" spans="1:10" x14ac:dyDescent="0.3">
      <c r="A5" s="2">
        <v>4</v>
      </c>
      <c r="B5" s="2" t="s">
        <v>26</v>
      </c>
      <c r="C5" s="2">
        <v>33</v>
      </c>
      <c r="D5" s="2" t="s">
        <v>16</v>
      </c>
      <c r="E5" s="2" t="s">
        <v>27</v>
      </c>
      <c r="F5" s="2" t="s">
        <v>28</v>
      </c>
      <c r="G5" s="2" t="s">
        <v>29</v>
      </c>
      <c r="H5" s="2" t="s">
        <v>30</v>
      </c>
      <c r="I5" s="2">
        <v>33457</v>
      </c>
      <c r="J5">
        <f t="shared" si="0"/>
        <v>33</v>
      </c>
    </row>
    <row r="6" spans="1:10" x14ac:dyDescent="0.3">
      <c r="A6" s="2">
        <v>5</v>
      </c>
      <c r="B6" s="2" t="str">
        <f>IF(B2&lt;&gt;"",B2,LEFT(F2,FIND("@",F2)-1))</f>
        <v>John Doe</v>
      </c>
      <c r="C6" s="2">
        <v>29</v>
      </c>
      <c r="D6" s="2" t="s">
        <v>16</v>
      </c>
      <c r="E6" s="2" t="s">
        <v>31</v>
      </c>
      <c r="F6" s="2" t="s">
        <v>32</v>
      </c>
      <c r="G6" s="2"/>
      <c r="H6" s="2"/>
      <c r="I6" s="2">
        <v>21918</v>
      </c>
      <c r="J6">
        <f t="shared" si="0"/>
        <v>29</v>
      </c>
    </row>
    <row r="7" spans="1:10" x14ac:dyDescent="0.3">
      <c r="A7" s="2">
        <v>6</v>
      </c>
      <c r="B7" s="2" t="s">
        <v>33</v>
      </c>
      <c r="C7" s="2">
        <v>34</v>
      </c>
      <c r="D7" s="2" t="s">
        <v>10</v>
      </c>
      <c r="E7" s="2" t="s">
        <v>34</v>
      </c>
      <c r="F7" s="2" t="s">
        <v>35</v>
      </c>
      <c r="G7" s="2"/>
      <c r="H7" s="2" t="s">
        <v>36</v>
      </c>
      <c r="I7" s="2">
        <v>33418</v>
      </c>
      <c r="J7">
        <f t="shared" si="0"/>
        <v>34</v>
      </c>
    </row>
    <row r="8" spans="1:10" x14ac:dyDescent="0.3">
      <c r="A8" s="2">
        <v>7</v>
      </c>
      <c r="B8" s="2" t="s">
        <v>37</v>
      </c>
      <c r="C8" s="2">
        <v>25</v>
      </c>
      <c r="D8" s="2" t="s">
        <v>16</v>
      </c>
      <c r="E8" s="2" t="s">
        <v>22</v>
      </c>
      <c r="F8" s="2"/>
      <c r="G8" s="2" t="s">
        <v>38</v>
      </c>
      <c r="H8" s="2" t="s">
        <v>39</v>
      </c>
      <c r="I8" s="2">
        <v>45828</v>
      </c>
      <c r="J8">
        <f t="shared" si="0"/>
        <v>25</v>
      </c>
    </row>
    <row r="9" spans="1:10" x14ac:dyDescent="0.3">
      <c r="A9" s="2">
        <v>8</v>
      </c>
      <c r="B9" s="2" t="s">
        <v>40</v>
      </c>
      <c r="C9" s="2">
        <v>31</v>
      </c>
      <c r="D9" s="2" t="s">
        <v>10</v>
      </c>
      <c r="E9" s="2" t="s">
        <v>27</v>
      </c>
      <c r="F9" s="2" t="s">
        <v>41</v>
      </c>
      <c r="G9" s="2">
        <f>91-8888888888</f>
        <v>-8888888797</v>
      </c>
      <c r="H9" s="2"/>
      <c r="I9" s="2">
        <v>45450</v>
      </c>
      <c r="J9">
        <f t="shared" si="0"/>
        <v>31</v>
      </c>
    </row>
    <row r="10" spans="1:10" x14ac:dyDescent="0.3">
      <c r="A10" s="2">
        <v>9</v>
      </c>
      <c r="B10" s="2" t="s">
        <v>42</v>
      </c>
      <c r="C10" s="2">
        <v>27</v>
      </c>
      <c r="D10" s="2" t="s">
        <v>16</v>
      </c>
      <c r="E10" s="2" t="s">
        <v>31</v>
      </c>
      <c r="F10" s="2" t="s">
        <v>43</v>
      </c>
      <c r="G10" s="2">
        <f>91-7777777777</f>
        <v>-7777777686</v>
      </c>
      <c r="H10" s="2" t="s">
        <v>44</v>
      </c>
      <c r="I10" s="2">
        <v>49938</v>
      </c>
      <c r="J10">
        <f t="shared" si="0"/>
        <v>27</v>
      </c>
    </row>
    <row r="11" spans="1:10" x14ac:dyDescent="0.3">
      <c r="A11" s="2">
        <v>10</v>
      </c>
      <c r="B11" s="2" t="str">
        <f>IF(B2&lt;&gt;"",B2,LEFT(F2,FIND("@",F2)-1))</f>
        <v>John Doe</v>
      </c>
      <c r="C11" s="2">
        <v>35</v>
      </c>
      <c r="D11" s="2" t="s">
        <v>10</v>
      </c>
      <c r="E11" s="2" t="s">
        <v>11</v>
      </c>
      <c r="F11" s="2" t="s">
        <v>45</v>
      </c>
      <c r="G11" s="2"/>
      <c r="H11" s="2" t="s">
        <v>46</v>
      </c>
      <c r="I11" s="2">
        <v>9818</v>
      </c>
      <c r="J11">
        <f t="shared" si="0"/>
        <v>35</v>
      </c>
    </row>
    <row r="12" spans="1:10" x14ac:dyDescent="0.3">
      <c r="A12" s="2">
        <v>11</v>
      </c>
      <c r="B12" s="2" t="s">
        <v>47</v>
      </c>
      <c r="C12" s="2">
        <f>J2</f>
        <v>32</v>
      </c>
      <c r="D12" s="2" t="s">
        <v>16</v>
      </c>
      <c r="E12" s="2" t="s">
        <v>17</v>
      </c>
      <c r="F12" s="2" t="s">
        <v>48</v>
      </c>
      <c r="G12" s="2">
        <f>91-6666666666</f>
        <v>-6666666575</v>
      </c>
      <c r="H12" s="2" t="s">
        <v>49</v>
      </c>
      <c r="I12" s="2">
        <v>41836</v>
      </c>
      <c r="J12">
        <f t="shared" si="0"/>
        <v>32</v>
      </c>
    </row>
    <row r="13" spans="1:10" x14ac:dyDescent="0.3">
      <c r="A13" s="2">
        <v>12</v>
      </c>
      <c r="B13" s="2" t="s">
        <v>50</v>
      </c>
      <c r="C13" s="2">
        <f>IF(ISBLANK(C2), AVERAGE($C$2:$C$51), C2)</f>
        <v>32</v>
      </c>
      <c r="D13" s="2" t="s">
        <v>10</v>
      </c>
      <c r="E13" s="2" t="s">
        <v>17</v>
      </c>
      <c r="F13" s="2" t="s">
        <v>51</v>
      </c>
      <c r="G13" s="2">
        <f>91-5555555555</f>
        <v>-5555555464</v>
      </c>
      <c r="H13" s="2" t="s">
        <v>52</v>
      </c>
      <c r="I13" s="2">
        <v>11901</v>
      </c>
      <c r="J13">
        <f t="shared" si="0"/>
        <v>32</v>
      </c>
    </row>
    <row r="14" spans="1:10" x14ac:dyDescent="0.3">
      <c r="A14" s="2">
        <v>13</v>
      </c>
      <c r="B14" s="2" t="str">
        <f>IF(B2&lt;&gt;"",B2,LEFT(F2,FIND("@",F2)-1))</f>
        <v>John Doe</v>
      </c>
      <c r="C14" s="2">
        <v>26</v>
      </c>
      <c r="D14" s="2" t="s">
        <v>10</v>
      </c>
      <c r="E14" s="2" t="s">
        <v>53</v>
      </c>
      <c r="F14" s="2"/>
      <c r="G14" s="2">
        <f>91-7777777777</f>
        <v>-7777777686</v>
      </c>
      <c r="H14" s="2" t="s">
        <v>54</v>
      </c>
      <c r="I14" s="2">
        <v>46236</v>
      </c>
      <c r="J14">
        <f t="shared" si="0"/>
        <v>26</v>
      </c>
    </row>
    <row r="15" spans="1:10" x14ac:dyDescent="0.3">
      <c r="A15" s="2">
        <v>14</v>
      </c>
      <c r="B15" s="2"/>
      <c r="C15" s="2">
        <v>28</v>
      </c>
      <c r="D15" s="2" t="s">
        <v>16</v>
      </c>
      <c r="E15" s="2" t="s">
        <v>56</v>
      </c>
      <c r="F15" s="2" t="s">
        <v>57</v>
      </c>
      <c r="G15" s="2"/>
      <c r="H15" s="2" t="s">
        <v>58</v>
      </c>
      <c r="I15" s="2">
        <v>21978</v>
      </c>
      <c r="J15">
        <f t="shared" si="0"/>
        <v>28</v>
      </c>
    </row>
    <row r="16" spans="1:10" x14ac:dyDescent="0.3">
      <c r="A16" s="2">
        <v>15</v>
      </c>
      <c r="B16" s="2"/>
      <c r="C16" s="2">
        <v>30</v>
      </c>
      <c r="D16" s="2" t="s">
        <v>16</v>
      </c>
      <c r="E16" s="2" t="s">
        <v>59</v>
      </c>
      <c r="F16" s="2" t="s">
        <v>60</v>
      </c>
      <c r="G16" s="2">
        <f>91-8888888888</f>
        <v>-8888888797</v>
      </c>
      <c r="H16" s="2"/>
      <c r="I16" s="2">
        <v>49400</v>
      </c>
      <c r="J16">
        <f t="shared" si="0"/>
        <v>30</v>
      </c>
    </row>
    <row r="17" spans="1:10" x14ac:dyDescent="0.3">
      <c r="A17" s="2">
        <v>16</v>
      </c>
      <c r="B17" s="2" t="s">
        <v>61</v>
      </c>
      <c r="C17" s="2">
        <v>32</v>
      </c>
      <c r="D17" s="2" t="s">
        <v>10</v>
      </c>
      <c r="E17" s="2" t="s">
        <v>62</v>
      </c>
      <c r="F17" s="2" t="s">
        <v>63</v>
      </c>
      <c r="G17" s="2">
        <f>91-1234567890</f>
        <v>-1234567799</v>
      </c>
      <c r="H17" s="2" t="s">
        <v>64</v>
      </c>
      <c r="I17" s="2">
        <v>28476</v>
      </c>
      <c r="J17">
        <f t="shared" si="0"/>
        <v>32</v>
      </c>
    </row>
    <row r="18" spans="1:10" x14ac:dyDescent="0.3">
      <c r="A18" s="2">
        <v>17</v>
      </c>
      <c r="B18" s="2" t="s">
        <v>65</v>
      </c>
      <c r="C18" s="2">
        <v>26</v>
      </c>
      <c r="D18" s="2" t="s">
        <v>16</v>
      </c>
      <c r="E18" s="2" t="s">
        <v>66</v>
      </c>
      <c r="F18" s="2" t="s">
        <v>67</v>
      </c>
      <c r="G18" s="2">
        <f>91-8765432109</f>
        <v>-8765432018</v>
      </c>
      <c r="H18" s="2"/>
      <c r="I18" s="2">
        <v>40088</v>
      </c>
      <c r="J18">
        <f t="shared" si="0"/>
        <v>26</v>
      </c>
    </row>
    <row r="19" spans="1:10" x14ac:dyDescent="0.3">
      <c r="A19" s="2">
        <v>18</v>
      </c>
      <c r="B19" s="2" t="s">
        <v>68</v>
      </c>
      <c r="C19" s="2">
        <v>28</v>
      </c>
      <c r="D19" s="2" t="s">
        <v>10</v>
      </c>
      <c r="E19" s="2" t="s">
        <v>34</v>
      </c>
      <c r="F19" s="2" t="s">
        <v>69</v>
      </c>
      <c r="G19" s="2">
        <f>91-9876543210</f>
        <v>-9876543119</v>
      </c>
      <c r="H19" s="2" t="s">
        <v>70</v>
      </c>
      <c r="I19" s="2">
        <v>2949</v>
      </c>
      <c r="J19">
        <f t="shared" si="0"/>
        <v>28</v>
      </c>
    </row>
    <row r="20" spans="1:10" x14ac:dyDescent="0.3">
      <c r="A20" s="2">
        <v>19</v>
      </c>
      <c r="B20" s="2" t="s">
        <v>71</v>
      </c>
      <c r="C20" s="2">
        <v>30</v>
      </c>
      <c r="D20" s="2" t="s">
        <v>16</v>
      </c>
      <c r="E20" s="2" t="s">
        <v>34</v>
      </c>
      <c r="F20" s="2" t="s">
        <v>72</v>
      </c>
      <c r="G20" s="2">
        <f>91-5555555555</f>
        <v>-5555555464</v>
      </c>
      <c r="H20" s="2" t="s">
        <v>73</v>
      </c>
      <c r="I20" s="2">
        <v>3337</v>
      </c>
      <c r="J20">
        <f t="shared" si="0"/>
        <v>30</v>
      </c>
    </row>
    <row r="21" spans="1:10" x14ac:dyDescent="0.3">
      <c r="A21" s="2">
        <v>20</v>
      </c>
      <c r="B21" s="2"/>
      <c r="C21" s="2">
        <v>32</v>
      </c>
      <c r="D21" s="2" t="s">
        <v>10</v>
      </c>
      <c r="E21" s="2" t="s">
        <v>59</v>
      </c>
      <c r="F21" s="2" t="s">
        <v>74</v>
      </c>
      <c r="G21" s="2">
        <f>91-9999999999</f>
        <v>-9999999908</v>
      </c>
      <c r="H21" s="2"/>
      <c r="I21" s="2">
        <v>2857</v>
      </c>
      <c r="J21">
        <f t="shared" si="0"/>
        <v>32</v>
      </c>
    </row>
    <row r="22" spans="1:10" x14ac:dyDescent="0.3">
      <c r="A22" s="2">
        <v>21</v>
      </c>
      <c r="B22" s="2" t="s">
        <v>75</v>
      </c>
      <c r="C22" s="2">
        <v>26</v>
      </c>
      <c r="D22" s="2" t="s">
        <v>16</v>
      </c>
      <c r="E22" s="2" t="s">
        <v>62</v>
      </c>
      <c r="F22" s="2" t="s">
        <v>76</v>
      </c>
      <c r="G22" s="2"/>
      <c r="H22" s="2" t="s">
        <v>77</v>
      </c>
      <c r="I22" s="2">
        <v>35969</v>
      </c>
      <c r="J22">
        <f t="shared" si="0"/>
        <v>26</v>
      </c>
    </row>
    <row r="23" spans="1:10" x14ac:dyDescent="0.3">
      <c r="A23" s="2">
        <v>22</v>
      </c>
      <c r="B23" s="2" t="s">
        <v>78</v>
      </c>
      <c r="C23" s="2">
        <v>33</v>
      </c>
      <c r="D23" s="2" t="s">
        <v>10</v>
      </c>
      <c r="E23" s="2" t="s">
        <v>66</v>
      </c>
      <c r="F23" s="2" t="s">
        <v>79</v>
      </c>
      <c r="G23" s="2">
        <f>91-8888888888</f>
        <v>-8888888797</v>
      </c>
      <c r="H23" s="2" t="s">
        <v>80</v>
      </c>
      <c r="I23" s="2">
        <v>49681</v>
      </c>
      <c r="J23">
        <f t="shared" si="0"/>
        <v>33</v>
      </c>
    </row>
    <row r="24" spans="1:10" x14ac:dyDescent="0.3">
      <c r="A24" s="2">
        <v>23</v>
      </c>
      <c r="B24" s="2"/>
      <c r="C24" s="2">
        <v>27</v>
      </c>
      <c r="D24" s="2" t="s">
        <v>16</v>
      </c>
      <c r="E24" s="2" t="s">
        <v>34</v>
      </c>
      <c r="F24" s="2"/>
      <c r="G24" s="2">
        <f>91-7777777777</f>
        <v>-7777777686</v>
      </c>
      <c r="H24" s="2" t="s">
        <v>81</v>
      </c>
      <c r="I24" s="2">
        <v>45102</v>
      </c>
      <c r="J24">
        <f t="shared" si="0"/>
        <v>27</v>
      </c>
    </row>
    <row r="25" spans="1:10" x14ac:dyDescent="0.3">
      <c r="A25" s="2">
        <v>24</v>
      </c>
      <c r="B25" s="2" t="s">
        <v>82</v>
      </c>
      <c r="C25" s="2">
        <v>29</v>
      </c>
      <c r="D25" s="2" t="s">
        <v>10</v>
      </c>
      <c r="E25" s="2" t="s">
        <v>11</v>
      </c>
      <c r="F25" s="2" t="s">
        <v>83</v>
      </c>
      <c r="G25" s="2" t="s">
        <v>84</v>
      </c>
      <c r="H25" s="2"/>
      <c r="I25" s="2">
        <v>15853</v>
      </c>
      <c r="J25">
        <f t="shared" si="0"/>
        <v>29</v>
      </c>
    </row>
    <row r="26" spans="1:10" x14ac:dyDescent="0.3">
      <c r="A26" s="2">
        <v>25</v>
      </c>
      <c r="B26" s="2" t="s">
        <v>85</v>
      </c>
      <c r="C26" s="2"/>
      <c r="D26" s="2" t="s">
        <v>16</v>
      </c>
      <c r="E26" s="2" t="s">
        <v>17</v>
      </c>
      <c r="F26" s="2" t="s">
        <v>86</v>
      </c>
      <c r="G26" s="2">
        <f>91-5555555555</f>
        <v>-5555555464</v>
      </c>
      <c r="H26" s="2" t="s">
        <v>87</v>
      </c>
      <c r="I26" s="2">
        <v>6926</v>
      </c>
      <c r="J26">
        <f t="shared" si="0"/>
        <v>29.617021276595743</v>
      </c>
    </row>
    <row r="27" spans="1:10" x14ac:dyDescent="0.3">
      <c r="A27" s="2">
        <v>26</v>
      </c>
      <c r="B27" s="2" t="s">
        <v>88</v>
      </c>
      <c r="C27" s="2">
        <v>31</v>
      </c>
      <c r="D27" s="2" t="s">
        <v>10</v>
      </c>
      <c r="E27" s="2" t="s">
        <v>59</v>
      </c>
      <c r="F27" s="2" t="s">
        <v>89</v>
      </c>
      <c r="G27" s="2"/>
      <c r="H27" s="2" t="s">
        <v>90</v>
      </c>
      <c r="I27" s="2">
        <v>45678</v>
      </c>
      <c r="J27">
        <f t="shared" si="0"/>
        <v>31</v>
      </c>
    </row>
    <row r="28" spans="1:10" x14ac:dyDescent="0.3">
      <c r="A28" s="2">
        <v>27</v>
      </c>
      <c r="B28" s="2" t="s">
        <v>91</v>
      </c>
      <c r="C28" s="2">
        <v>28</v>
      </c>
      <c r="D28" s="2" t="s">
        <v>16</v>
      </c>
      <c r="E28" s="2" t="s">
        <v>62</v>
      </c>
      <c r="F28" s="2" t="s">
        <v>92</v>
      </c>
      <c r="G28" s="2">
        <f>91-7777777777</f>
        <v>-7777777686</v>
      </c>
      <c r="H28" s="2" t="s">
        <v>93</v>
      </c>
      <c r="I28" s="2">
        <v>8022</v>
      </c>
      <c r="J28">
        <f t="shared" si="0"/>
        <v>28</v>
      </c>
    </row>
    <row r="29" spans="1:10" x14ac:dyDescent="0.3">
      <c r="A29" s="2">
        <v>28</v>
      </c>
      <c r="B29" s="2" t="s">
        <v>94</v>
      </c>
      <c r="C29" s="2">
        <v>34</v>
      </c>
      <c r="D29" s="2" t="s">
        <v>10</v>
      </c>
      <c r="E29" s="2" t="s">
        <v>66</v>
      </c>
      <c r="F29" s="2" t="s">
        <v>95</v>
      </c>
      <c r="G29" s="2">
        <f>91-8888888888</f>
        <v>-8888888797</v>
      </c>
      <c r="H29" s="2" t="s">
        <v>96</v>
      </c>
      <c r="I29" s="2">
        <v>3484</v>
      </c>
      <c r="J29">
        <f t="shared" si="0"/>
        <v>34</v>
      </c>
    </row>
    <row r="30" spans="1:10" x14ac:dyDescent="0.3">
      <c r="A30" s="2">
        <v>29</v>
      </c>
      <c r="B30" s="2" t="s">
        <v>97</v>
      </c>
      <c r="C30" s="2">
        <v>26</v>
      </c>
      <c r="D30" s="2" t="s">
        <v>16</v>
      </c>
      <c r="E30" s="2" t="s">
        <v>22</v>
      </c>
      <c r="F30" s="2" t="s">
        <v>98</v>
      </c>
      <c r="G30" s="2">
        <f>91-7777777777</f>
        <v>-7777777686</v>
      </c>
      <c r="H30" s="2" t="s">
        <v>99</v>
      </c>
      <c r="I30" s="2">
        <v>11342</v>
      </c>
      <c r="J30">
        <f t="shared" si="0"/>
        <v>26</v>
      </c>
    </row>
    <row r="31" spans="1:10" x14ac:dyDescent="0.3">
      <c r="A31" s="2">
        <v>30</v>
      </c>
      <c r="B31" s="2"/>
      <c r="C31" s="2">
        <v>29</v>
      </c>
      <c r="D31" s="2" t="s">
        <v>10</v>
      </c>
      <c r="E31" s="2" t="s">
        <v>27</v>
      </c>
      <c r="F31" s="2" t="s">
        <v>100</v>
      </c>
      <c r="G31" s="2"/>
      <c r="H31" s="2" t="s">
        <v>101</v>
      </c>
      <c r="I31" s="2">
        <v>40940</v>
      </c>
      <c r="J31">
        <f t="shared" si="0"/>
        <v>29</v>
      </c>
    </row>
    <row r="32" spans="1:10" x14ac:dyDescent="0.3">
      <c r="A32" s="2">
        <v>31</v>
      </c>
      <c r="B32" s="2" t="s">
        <v>42</v>
      </c>
      <c r="C32" s="2">
        <v>27</v>
      </c>
      <c r="D32" s="2" t="s">
        <v>16</v>
      </c>
      <c r="E32" s="2" t="s">
        <v>31</v>
      </c>
      <c r="F32" s="2" t="s">
        <v>102</v>
      </c>
      <c r="G32" s="2">
        <f>91-5555555555</f>
        <v>-5555555464</v>
      </c>
      <c r="H32" s="2"/>
      <c r="I32" s="2">
        <v>41841</v>
      </c>
      <c r="J32">
        <f t="shared" si="0"/>
        <v>27</v>
      </c>
    </row>
    <row r="33" spans="1:10" x14ac:dyDescent="0.3">
      <c r="A33" s="2">
        <v>32</v>
      </c>
      <c r="B33" s="2" t="s">
        <v>103</v>
      </c>
      <c r="C33" s="2">
        <v>32</v>
      </c>
      <c r="D33" s="2" t="s">
        <v>10</v>
      </c>
      <c r="E33" s="2" t="s">
        <v>59</v>
      </c>
      <c r="F33" s="2" t="s">
        <v>104</v>
      </c>
      <c r="G33" s="2"/>
      <c r="H33" s="2" t="s">
        <v>105</v>
      </c>
      <c r="I33" s="2">
        <v>39835</v>
      </c>
      <c r="J33">
        <f t="shared" si="0"/>
        <v>32</v>
      </c>
    </row>
    <row r="34" spans="1:10" x14ac:dyDescent="0.3">
      <c r="A34" s="2">
        <v>33</v>
      </c>
      <c r="B34" s="2"/>
      <c r="C34" s="2">
        <v>33</v>
      </c>
      <c r="D34" s="2" t="s">
        <v>16</v>
      </c>
      <c r="E34" s="2" t="s">
        <v>62</v>
      </c>
      <c r="F34" s="2" t="s">
        <v>106</v>
      </c>
      <c r="G34" s="2">
        <f>91-6666666666</f>
        <v>-6666666575</v>
      </c>
      <c r="H34" s="2" t="s">
        <v>107</v>
      </c>
      <c r="I34" s="2">
        <v>9577</v>
      </c>
      <c r="J34">
        <f t="shared" ref="J34:J51" si="1">IF(ISBLANK(C34), AVERAGE($C$2:$C$51), C34)</f>
        <v>33</v>
      </c>
    </row>
    <row r="35" spans="1:10" x14ac:dyDescent="0.3">
      <c r="A35" s="2">
        <v>34</v>
      </c>
      <c r="B35" s="2" t="s">
        <v>108</v>
      </c>
      <c r="C35" s="2">
        <v>30</v>
      </c>
      <c r="D35" s="2" t="s">
        <v>10</v>
      </c>
      <c r="E35" s="2" t="s">
        <v>66</v>
      </c>
      <c r="F35" s="2" t="s">
        <v>109</v>
      </c>
      <c r="G35" s="2"/>
      <c r="H35" s="2" t="s">
        <v>110</v>
      </c>
      <c r="I35" s="2">
        <v>29480</v>
      </c>
      <c r="J35">
        <f t="shared" si="1"/>
        <v>30</v>
      </c>
    </row>
    <row r="36" spans="1:10" x14ac:dyDescent="0.3">
      <c r="A36" s="2">
        <v>35</v>
      </c>
      <c r="B36" s="2" t="s">
        <v>111</v>
      </c>
      <c r="C36" s="2"/>
      <c r="D36" s="2" t="s">
        <v>16</v>
      </c>
      <c r="E36" s="2" t="s">
        <v>22</v>
      </c>
      <c r="F36" s="2" t="s">
        <v>112</v>
      </c>
      <c r="G36" s="2">
        <f>91-5555555555</f>
        <v>-5555555464</v>
      </c>
      <c r="H36" s="2" t="s">
        <v>113</v>
      </c>
      <c r="I36" s="2">
        <v>14254</v>
      </c>
      <c r="J36">
        <f t="shared" si="1"/>
        <v>29.617021276595743</v>
      </c>
    </row>
    <row r="37" spans="1:10" x14ac:dyDescent="0.3">
      <c r="A37" s="2">
        <v>36</v>
      </c>
      <c r="B37" s="2" t="s">
        <v>114</v>
      </c>
      <c r="C37" s="2">
        <v>29</v>
      </c>
      <c r="D37" s="2" t="s">
        <v>10</v>
      </c>
      <c r="E37" s="2" t="s">
        <v>27</v>
      </c>
      <c r="F37" s="2" t="s">
        <v>115</v>
      </c>
      <c r="G37" s="2">
        <f>91-7777777777</f>
        <v>-7777777686</v>
      </c>
      <c r="H37" s="2" t="s">
        <v>116</v>
      </c>
      <c r="I37" s="2">
        <v>37358</v>
      </c>
      <c r="J37">
        <f t="shared" si="1"/>
        <v>29</v>
      </c>
    </row>
    <row r="38" spans="1:10" x14ac:dyDescent="0.3">
      <c r="A38" s="2">
        <v>37</v>
      </c>
      <c r="B38" s="2"/>
      <c r="C38" s="2">
        <v>31</v>
      </c>
      <c r="D38" s="2" t="s">
        <v>16</v>
      </c>
      <c r="E38" s="2" t="s">
        <v>31</v>
      </c>
      <c r="F38" s="2" t="s">
        <v>117</v>
      </c>
      <c r="G38" s="2"/>
      <c r="H38" s="2" t="s">
        <v>118</v>
      </c>
      <c r="I38" s="2">
        <v>48367</v>
      </c>
      <c r="J38">
        <f t="shared" si="1"/>
        <v>31</v>
      </c>
    </row>
    <row r="39" spans="1:10" x14ac:dyDescent="0.3">
      <c r="A39" s="2">
        <v>38</v>
      </c>
      <c r="B39" s="2" t="s">
        <v>119</v>
      </c>
      <c r="C39" s="2">
        <v>28</v>
      </c>
      <c r="D39" s="2" t="s">
        <v>10</v>
      </c>
      <c r="E39" s="2" t="s">
        <v>120</v>
      </c>
      <c r="F39" s="2" t="s">
        <v>121</v>
      </c>
      <c r="G39" s="2">
        <f>91-8888888888</f>
        <v>-8888888797</v>
      </c>
      <c r="H39" s="2" t="s">
        <v>122</v>
      </c>
      <c r="I39" s="2">
        <v>37473</v>
      </c>
      <c r="J39">
        <f t="shared" si="1"/>
        <v>28</v>
      </c>
    </row>
    <row r="40" spans="1:10" x14ac:dyDescent="0.3">
      <c r="A40" s="2">
        <v>39</v>
      </c>
      <c r="B40" s="2" t="s">
        <v>123</v>
      </c>
      <c r="C40" s="2">
        <v>33</v>
      </c>
      <c r="D40" s="2" t="s">
        <v>16</v>
      </c>
      <c r="E40" s="2" t="s">
        <v>124</v>
      </c>
      <c r="F40" s="2" t="s">
        <v>125</v>
      </c>
      <c r="G40" s="2">
        <f>91-9999999999</f>
        <v>-9999999908</v>
      </c>
      <c r="H40" s="2" t="s">
        <v>126</v>
      </c>
      <c r="I40" s="2">
        <v>30628</v>
      </c>
      <c r="J40">
        <f t="shared" si="1"/>
        <v>33</v>
      </c>
    </row>
    <row r="41" spans="1:10" x14ac:dyDescent="0.3">
      <c r="A41" s="2">
        <v>40</v>
      </c>
      <c r="B41" s="2" t="s">
        <v>127</v>
      </c>
      <c r="C41" s="2">
        <v>30</v>
      </c>
      <c r="D41" s="2" t="s">
        <v>10</v>
      </c>
      <c r="E41" s="2" t="s">
        <v>128</v>
      </c>
      <c r="F41" s="2" t="s">
        <v>129</v>
      </c>
      <c r="G41" s="2"/>
      <c r="H41" s="2" t="s">
        <v>130</v>
      </c>
      <c r="I41" s="2">
        <v>22018</v>
      </c>
      <c r="J41">
        <f t="shared" si="1"/>
        <v>30</v>
      </c>
    </row>
    <row r="42" spans="1:10" x14ac:dyDescent="0.3">
      <c r="A42" s="2">
        <v>41</v>
      </c>
      <c r="B42" s="2" t="s">
        <v>131</v>
      </c>
      <c r="C42" s="2">
        <v>27</v>
      </c>
      <c r="D42" s="2" t="s">
        <v>16</v>
      </c>
      <c r="E42" s="2" t="s">
        <v>34</v>
      </c>
      <c r="F42" s="2" t="s">
        <v>132</v>
      </c>
      <c r="G42" s="2">
        <f>91-7777777777</f>
        <v>-7777777686</v>
      </c>
      <c r="H42" s="2" t="s">
        <v>133</v>
      </c>
      <c r="I42" s="2">
        <v>35747</v>
      </c>
      <c r="J42">
        <f t="shared" si="1"/>
        <v>27</v>
      </c>
    </row>
    <row r="43" spans="1:10" x14ac:dyDescent="0.3">
      <c r="A43" s="2">
        <v>42</v>
      </c>
      <c r="B43" s="2" t="s">
        <v>134</v>
      </c>
      <c r="C43" s="2">
        <v>29</v>
      </c>
      <c r="D43" s="2" t="s">
        <v>10</v>
      </c>
      <c r="E43" s="2" t="s">
        <v>31</v>
      </c>
      <c r="F43" s="2" t="s">
        <v>135</v>
      </c>
      <c r="G43" s="2"/>
      <c r="H43" s="2" t="s">
        <v>136</v>
      </c>
      <c r="I43" s="2">
        <v>32258</v>
      </c>
      <c r="J43">
        <f t="shared" si="1"/>
        <v>29</v>
      </c>
    </row>
    <row r="44" spans="1:10" x14ac:dyDescent="0.3">
      <c r="A44" s="2">
        <v>43</v>
      </c>
      <c r="B44" s="2" t="s">
        <v>137</v>
      </c>
      <c r="C44" s="2">
        <v>26</v>
      </c>
      <c r="D44" s="2" t="s">
        <v>16</v>
      </c>
      <c r="E44" s="2" t="s">
        <v>59</v>
      </c>
      <c r="F44" s="2" t="s">
        <v>138</v>
      </c>
      <c r="G44" s="2">
        <f>91-5555555555</f>
        <v>-5555555464</v>
      </c>
      <c r="H44" s="2" t="s">
        <v>139</v>
      </c>
      <c r="I44" s="2">
        <v>31047</v>
      </c>
      <c r="J44">
        <f t="shared" si="1"/>
        <v>26</v>
      </c>
    </row>
    <row r="45" spans="1:10" x14ac:dyDescent="0.3">
      <c r="A45" s="2">
        <v>44</v>
      </c>
      <c r="B45" s="2"/>
      <c r="C45" s="2">
        <v>28</v>
      </c>
      <c r="D45" s="2" t="s">
        <v>10</v>
      </c>
      <c r="E45" s="2" t="s">
        <v>62</v>
      </c>
      <c r="F45" s="2" t="s">
        <v>140</v>
      </c>
      <c r="G45" s="2"/>
      <c r="H45" s="2" t="s">
        <v>141</v>
      </c>
      <c r="I45" s="2">
        <v>31064</v>
      </c>
      <c r="J45">
        <f t="shared" si="1"/>
        <v>28</v>
      </c>
    </row>
    <row r="46" spans="1:10" x14ac:dyDescent="0.3">
      <c r="A46" s="2">
        <v>45</v>
      </c>
      <c r="B46" s="2" t="s">
        <v>142</v>
      </c>
      <c r="C46" s="2">
        <v>31</v>
      </c>
      <c r="D46" s="2" t="s">
        <v>10</v>
      </c>
      <c r="E46" s="2" t="s">
        <v>66</v>
      </c>
      <c r="F46" s="2" t="s">
        <v>143</v>
      </c>
      <c r="G46" s="2">
        <f>91-8888888888</f>
        <v>-8888888797</v>
      </c>
      <c r="H46" s="2"/>
      <c r="I46" s="2">
        <v>3108</v>
      </c>
      <c r="J46">
        <f t="shared" si="1"/>
        <v>31</v>
      </c>
    </row>
    <row r="47" spans="1:10" x14ac:dyDescent="0.3">
      <c r="A47" s="2">
        <v>46</v>
      </c>
      <c r="B47" s="2" t="s">
        <v>144</v>
      </c>
      <c r="C47" s="2">
        <v>27</v>
      </c>
      <c r="D47" s="2" t="s">
        <v>16</v>
      </c>
      <c r="E47" s="2" t="s">
        <v>120</v>
      </c>
      <c r="F47" s="2" t="s">
        <v>145</v>
      </c>
      <c r="G47" s="2">
        <f>91-7777777777</f>
        <v>-7777777686</v>
      </c>
      <c r="H47" s="2" t="s">
        <v>146</v>
      </c>
      <c r="I47" s="2">
        <v>20205</v>
      </c>
      <c r="J47">
        <f t="shared" si="1"/>
        <v>27</v>
      </c>
    </row>
    <row r="48" spans="1:10" x14ac:dyDescent="0.3">
      <c r="A48" s="2">
        <v>47</v>
      </c>
      <c r="B48" s="2"/>
      <c r="C48" s="2">
        <v>29</v>
      </c>
      <c r="D48" s="2" t="s">
        <v>10</v>
      </c>
      <c r="E48" s="2" t="s">
        <v>124</v>
      </c>
      <c r="F48" s="2" t="s">
        <v>147</v>
      </c>
      <c r="G48" s="2"/>
      <c r="H48" s="2" t="s">
        <v>148</v>
      </c>
      <c r="I48" s="2">
        <v>8746</v>
      </c>
      <c r="J48">
        <f t="shared" si="1"/>
        <v>29</v>
      </c>
    </row>
    <row r="49" spans="1:10" x14ac:dyDescent="0.3">
      <c r="A49" s="2">
        <v>48</v>
      </c>
      <c r="B49" s="2" t="s">
        <v>149</v>
      </c>
      <c r="C49" s="2">
        <v>32</v>
      </c>
      <c r="D49" s="2" t="s">
        <v>16</v>
      </c>
      <c r="E49" s="2" t="s">
        <v>22</v>
      </c>
      <c r="F49" s="2" t="s">
        <v>150</v>
      </c>
      <c r="G49" s="2">
        <f>91-6666666666</f>
        <v>-6666666575</v>
      </c>
      <c r="H49" s="2" t="s">
        <v>151</v>
      </c>
      <c r="I49" s="2">
        <v>15531</v>
      </c>
      <c r="J49">
        <f t="shared" si="1"/>
        <v>32</v>
      </c>
    </row>
    <row r="50" spans="1:10" x14ac:dyDescent="0.3">
      <c r="A50" s="2">
        <v>49</v>
      </c>
      <c r="B50" s="2" t="s">
        <v>152</v>
      </c>
      <c r="C50" s="2"/>
      <c r="D50" s="2" t="s">
        <v>10</v>
      </c>
      <c r="E50" s="2" t="s">
        <v>27</v>
      </c>
      <c r="F50" s="2" t="s">
        <v>153</v>
      </c>
      <c r="G50" s="2">
        <f>91-5555555555</f>
        <v>-5555555464</v>
      </c>
      <c r="H50" s="2" t="s">
        <v>154</v>
      </c>
      <c r="I50" s="2">
        <v>23055</v>
      </c>
      <c r="J50">
        <f t="shared" si="1"/>
        <v>29.617021276595743</v>
      </c>
    </row>
    <row r="51" spans="1:10" x14ac:dyDescent="0.3">
      <c r="A51" s="2">
        <v>50</v>
      </c>
      <c r="B51" s="2" t="s">
        <v>155</v>
      </c>
      <c r="C51" s="2">
        <v>30</v>
      </c>
      <c r="D51" s="2" t="s">
        <v>16</v>
      </c>
      <c r="E51" s="2" t="s">
        <v>31</v>
      </c>
      <c r="F51" s="2" t="s">
        <v>156</v>
      </c>
      <c r="G51" s="2"/>
      <c r="H51" s="2" t="s">
        <v>157</v>
      </c>
      <c r="I51" s="2">
        <v>18647</v>
      </c>
      <c r="J51">
        <f t="shared" si="1"/>
        <v>30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391D2-C9D9-4EC3-97EC-A0EE1C514000}">
  <dimension ref="A1:J51"/>
  <sheetViews>
    <sheetView workbookViewId="0">
      <selection activeCell="M20" sqref="M20"/>
    </sheetView>
  </sheetViews>
  <sheetFormatPr defaultRowHeight="14.4" x14ac:dyDescent="0.3"/>
  <cols>
    <col min="1" max="4" width="8.88671875" style="6"/>
    <col min="5" max="5" width="14.77734375" style="6" customWidth="1"/>
    <col min="6" max="6" width="20" style="6" customWidth="1"/>
    <col min="7" max="7" width="17.44140625" style="6" customWidth="1"/>
    <col min="8" max="8" width="16.6640625" style="6" customWidth="1"/>
    <col min="9" max="10" width="8.88671875" style="6"/>
    <col min="11" max="11" width="10.5546875" style="6" customWidth="1"/>
    <col min="12" max="16384" width="8.88671875" style="6"/>
  </cols>
  <sheetData>
    <row r="1" spans="1:10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" t="s">
        <v>207</v>
      </c>
    </row>
    <row r="2" spans="1:10" x14ac:dyDescent="0.3">
      <c r="A2" s="7">
        <v>1</v>
      </c>
      <c r="B2" s="7" t="s">
        <v>9</v>
      </c>
      <c r="C2" s="7">
        <v>32</v>
      </c>
      <c r="D2" s="7" t="s">
        <v>10</v>
      </c>
      <c r="E2" s="7" t="s">
        <v>11</v>
      </c>
      <c r="F2" s="7" t="s">
        <v>12</v>
      </c>
      <c r="G2" s="7" t="s">
        <v>13</v>
      </c>
      <c r="H2" s="7" t="s">
        <v>14</v>
      </c>
      <c r="I2" s="7">
        <v>4553</v>
      </c>
      <c r="J2" s="6" t="str">
        <f t="shared" ref="J2:J33" si="0">IF(ISNUMBER(G2), CONCATENATE("(91-", MID(G2, 3, 10), ")"), "Invalid Phone Number")</f>
        <v>Invalid Phone Number</v>
      </c>
    </row>
    <row r="3" spans="1:10" x14ac:dyDescent="0.3">
      <c r="A3" s="7">
        <v>2</v>
      </c>
      <c r="B3" s="7" t="s">
        <v>15</v>
      </c>
      <c r="C3" s="7">
        <v>28</v>
      </c>
      <c r="D3" s="7" t="s">
        <v>16</v>
      </c>
      <c r="E3" s="7" t="s">
        <v>17</v>
      </c>
      <c r="F3" s="7" t="s">
        <v>18</v>
      </c>
      <c r="G3" s="7" t="s">
        <v>19</v>
      </c>
      <c r="H3" s="7" t="s">
        <v>20</v>
      </c>
      <c r="I3" s="7">
        <v>31169</v>
      </c>
      <c r="J3" s="6" t="str">
        <f t="shared" si="0"/>
        <v>Invalid Phone Number</v>
      </c>
    </row>
    <row r="4" spans="1:10" x14ac:dyDescent="0.3">
      <c r="A4" s="7">
        <v>3</v>
      </c>
      <c r="B4" s="7" t="s">
        <v>21</v>
      </c>
      <c r="C4" s="7">
        <v>27</v>
      </c>
      <c r="D4" s="7" t="s">
        <v>10</v>
      </c>
      <c r="E4" s="7" t="s">
        <v>22</v>
      </c>
      <c r="F4" s="7" t="s">
        <v>23</v>
      </c>
      <c r="G4" s="7" t="s">
        <v>24</v>
      </c>
      <c r="H4" s="7" t="s">
        <v>25</v>
      </c>
      <c r="I4" s="7">
        <v>11116</v>
      </c>
      <c r="J4" s="6" t="str">
        <f t="shared" si="0"/>
        <v>Invalid Phone Number</v>
      </c>
    </row>
    <row r="5" spans="1:10" x14ac:dyDescent="0.3">
      <c r="A5" s="7">
        <v>4</v>
      </c>
      <c r="B5" s="7" t="s">
        <v>26</v>
      </c>
      <c r="C5" s="7">
        <v>33</v>
      </c>
      <c r="D5" s="7" t="s">
        <v>16</v>
      </c>
      <c r="E5" s="7" t="s">
        <v>27</v>
      </c>
      <c r="F5" s="7" t="s">
        <v>28</v>
      </c>
      <c r="G5" s="7" t="s">
        <v>29</v>
      </c>
      <c r="H5" s="7" t="s">
        <v>30</v>
      </c>
      <c r="I5" s="7">
        <v>33457</v>
      </c>
      <c r="J5" s="6" t="str">
        <f t="shared" si="0"/>
        <v>Invalid Phone Number</v>
      </c>
    </row>
    <row r="6" spans="1:10" x14ac:dyDescent="0.3">
      <c r="A6" s="7">
        <v>5</v>
      </c>
      <c r="B6" s="7" t="e">
        <f xml:space="preserve"> IF(#REF!="",LEFT(#REF!,FIND("@",#REF!) -1),#REF!)</f>
        <v>#REF!</v>
      </c>
      <c r="C6" s="7">
        <v>29</v>
      </c>
      <c r="D6" s="7" t="s">
        <v>16</v>
      </c>
      <c r="E6" s="7" t="s">
        <v>31</v>
      </c>
      <c r="F6" s="7" t="s">
        <v>32</v>
      </c>
      <c r="G6" s="7"/>
      <c r="H6" s="7"/>
      <c r="I6" s="7">
        <v>21918</v>
      </c>
      <c r="J6" s="6" t="str">
        <f t="shared" si="0"/>
        <v>Invalid Phone Number</v>
      </c>
    </row>
    <row r="7" spans="1:10" x14ac:dyDescent="0.3">
      <c r="A7" s="7">
        <v>6</v>
      </c>
      <c r="B7" s="7" t="s">
        <v>33</v>
      </c>
      <c r="C7" s="7">
        <v>34</v>
      </c>
      <c r="D7" s="7" t="s">
        <v>10</v>
      </c>
      <c r="E7" s="7" t="s">
        <v>34</v>
      </c>
      <c r="F7" s="7" t="s">
        <v>35</v>
      </c>
      <c r="G7" s="7"/>
      <c r="H7" s="7" t="s">
        <v>36</v>
      </c>
      <c r="I7" s="7">
        <v>33418</v>
      </c>
      <c r="J7" s="6" t="str">
        <f t="shared" si="0"/>
        <v>Invalid Phone Number</v>
      </c>
    </row>
    <row r="8" spans="1:10" x14ac:dyDescent="0.3">
      <c r="A8" s="7">
        <v>7</v>
      </c>
      <c r="B8" s="7" t="s">
        <v>37</v>
      </c>
      <c r="C8" s="7">
        <v>25</v>
      </c>
      <c r="D8" s="7" t="s">
        <v>16</v>
      </c>
      <c r="E8" s="7" t="s">
        <v>22</v>
      </c>
      <c r="F8" s="7"/>
      <c r="G8" s="7" t="s">
        <v>38</v>
      </c>
      <c r="H8" s="7" t="s">
        <v>39</v>
      </c>
      <c r="I8" s="7">
        <v>45828</v>
      </c>
      <c r="J8" s="6" t="str">
        <f t="shared" si="0"/>
        <v>Invalid Phone Number</v>
      </c>
    </row>
    <row r="9" spans="1:10" x14ac:dyDescent="0.3">
      <c r="A9" s="7">
        <v>8</v>
      </c>
      <c r="B9" s="7" t="s">
        <v>40</v>
      </c>
      <c r="C9" s="7">
        <v>31</v>
      </c>
      <c r="D9" s="7" t="s">
        <v>10</v>
      </c>
      <c r="E9" s="7" t="s">
        <v>27</v>
      </c>
      <c r="F9" s="7" t="s">
        <v>41</v>
      </c>
      <c r="G9" s="7">
        <f>91-8888888888</f>
        <v>-8888888797</v>
      </c>
      <c r="H9" s="7"/>
      <c r="I9" s="7">
        <v>45450</v>
      </c>
      <c r="J9" s="6" t="str">
        <f t="shared" si="0"/>
        <v>(91-888888797)</v>
      </c>
    </row>
    <row r="10" spans="1:10" x14ac:dyDescent="0.3">
      <c r="A10" s="7">
        <v>9</v>
      </c>
      <c r="B10" s="7" t="s">
        <v>42</v>
      </c>
      <c r="C10" s="7">
        <v>27</v>
      </c>
      <c r="D10" s="7" t="s">
        <v>16</v>
      </c>
      <c r="E10" s="7" t="s">
        <v>31</v>
      </c>
      <c r="F10" s="7" t="s">
        <v>43</v>
      </c>
      <c r="G10" s="7">
        <f>91-7777777777</f>
        <v>-7777777686</v>
      </c>
      <c r="H10" s="7" t="s">
        <v>44</v>
      </c>
      <c r="I10" s="7">
        <v>49938</v>
      </c>
      <c r="J10" s="6" t="str">
        <f t="shared" si="0"/>
        <v>(91-777777686)</v>
      </c>
    </row>
    <row r="11" spans="1:10" x14ac:dyDescent="0.3">
      <c r="A11" s="7">
        <v>10</v>
      </c>
      <c r="B11" s="7"/>
      <c r="C11" s="7">
        <v>35</v>
      </c>
      <c r="D11" s="7" t="s">
        <v>10</v>
      </c>
      <c r="E11" s="7" t="s">
        <v>11</v>
      </c>
      <c r="F11" s="7" t="s">
        <v>45</v>
      </c>
      <c r="G11" s="7"/>
      <c r="H11" s="7" t="s">
        <v>46</v>
      </c>
      <c r="I11" s="7">
        <v>9818</v>
      </c>
      <c r="J11" s="6" t="str">
        <f t="shared" si="0"/>
        <v>Invalid Phone Number</v>
      </c>
    </row>
    <row r="12" spans="1:10" x14ac:dyDescent="0.3">
      <c r="A12" s="7">
        <v>11</v>
      </c>
      <c r="B12" s="7" t="s">
        <v>47</v>
      </c>
      <c r="C12" s="7"/>
      <c r="D12" s="7" t="s">
        <v>16</v>
      </c>
      <c r="E12" s="7" t="s">
        <v>17</v>
      </c>
      <c r="F12" s="7" t="s">
        <v>48</v>
      </c>
      <c r="G12" s="7">
        <f>91-6666666666</f>
        <v>-6666666575</v>
      </c>
      <c r="H12" s="7" t="s">
        <v>49</v>
      </c>
      <c r="I12" s="7">
        <v>41836</v>
      </c>
      <c r="J12" s="6" t="str">
        <f t="shared" si="0"/>
        <v>(91-666666575)</v>
      </c>
    </row>
    <row r="13" spans="1:10" x14ac:dyDescent="0.3">
      <c r="A13" s="7">
        <v>12</v>
      </c>
      <c r="B13" s="7" t="s">
        <v>50</v>
      </c>
      <c r="C13" s="7">
        <v>29</v>
      </c>
      <c r="D13" s="7" t="s">
        <v>10</v>
      </c>
      <c r="E13" s="7" t="s">
        <v>17</v>
      </c>
      <c r="F13" s="7" t="s">
        <v>51</v>
      </c>
      <c r="G13" s="7">
        <f>91-5555555555</f>
        <v>-5555555464</v>
      </c>
      <c r="H13" s="7" t="s">
        <v>52</v>
      </c>
      <c r="I13" s="7">
        <v>11901</v>
      </c>
      <c r="J13" s="6" t="str">
        <f t="shared" si="0"/>
        <v>(91-555555464)</v>
      </c>
    </row>
    <row r="14" spans="1:10" x14ac:dyDescent="0.3">
      <c r="A14" s="7">
        <v>13</v>
      </c>
      <c r="B14" s="7"/>
      <c r="C14" s="7">
        <v>26</v>
      </c>
      <c r="D14" s="7" t="s">
        <v>10</v>
      </c>
      <c r="E14" s="7" t="s">
        <v>53</v>
      </c>
      <c r="F14" s="7"/>
      <c r="G14" s="7">
        <f>91-7777777777</f>
        <v>-7777777686</v>
      </c>
      <c r="H14" s="7" t="s">
        <v>54</v>
      </c>
      <c r="I14" s="7">
        <v>46236</v>
      </c>
      <c r="J14" s="6" t="str">
        <f t="shared" si="0"/>
        <v>(91-777777686)</v>
      </c>
    </row>
    <row r="15" spans="1:10" x14ac:dyDescent="0.3">
      <c r="A15" s="7">
        <v>14</v>
      </c>
      <c r="B15" s="7" t="s">
        <v>55</v>
      </c>
      <c r="C15" s="7">
        <v>28</v>
      </c>
      <c r="D15" s="7" t="s">
        <v>16</v>
      </c>
      <c r="E15" s="7" t="s">
        <v>56</v>
      </c>
      <c r="F15" s="7" t="s">
        <v>57</v>
      </c>
      <c r="G15" s="7"/>
      <c r="H15" s="7" t="s">
        <v>58</v>
      </c>
      <c r="I15" s="7">
        <v>21978</v>
      </c>
      <c r="J15" s="6" t="str">
        <f t="shared" si="0"/>
        <v>Invalid Phone Number</v>
      </c>
    </row>
    <row r="16" spans="1:10" x14ac:dyDescent="0.3">
      <c r="A16" s="7">
        <v>15</v>
      </c>
      <c r="B16" s="7"/>
      <c r="C16" s="7">
        <v>30</v>
      </c>
      <c r="D16" s="7" t="s">
        <v>16</v>
      </c>
      <c r="E16" s="7" t="s">
        <v>59</v>
      </c>
      <c r="F16" s="7" t="s">
        <v>60</v>
      </c>
      <c r="G16" s="7">
        <f>91-8888888888</f>
        <v>-8888888797</v>
      </c>
      <c r="H16" s="7"/>
      <c r="I16" s="7">
        <v>49400</v>
      </c>
      <c r="J16" s="6" t="str">
        <f t="shared" si="0"/>
        <v>(91-888888797)</v>
      </c>
    </row>
    <row r="17" spans="1:10" x14ac:dyDescent="0.3">
      <c r="A17" s="7">
        <v>16</v>
      </c>
      <c r="B17" s="7" t="s">
        <v>61</v>
      </c>
      <c r="C17" s="7">
        <v>32</v>
      </c>
      <c r="D17" s="7" t="s">
        <v>10</v>
      </c>
      <c r="E17" s="7" t="s">
        <v>62</v>
      </c>
      <c r="F17" s="7" t="s">
        <v>63</v>
      </c>
      <c r="G17" s="7">
        <f>91-1234567890</f>
        <v>-1234567799</v>
      </c>
      <c r="H17" s="7" t="s">
        <v>64</v>
      </c>
      <c r="I17" s="7">
        <v>28476</v>
      </c>
      <c r="J17" s="6" t="str">
        <f t="shared" si="0"/>
        <v>(91-234567799)</v>
      </c>
    </row>
    <row r="18" spans="1:10" x14ac:dyDescent="0.3">
      <c r="A18" s="7">
        <v>17</v>
      </c>
      <c r="B18" s="7" t="s">
        <v>65</v>
      </c>
      <c r="C18" s="7">
        <v>26</v>
      </c>
      <c r="D18" s="7" t="s">
        <v>16</v>
      </c>
      <c r="E18" s="7" t="s">
        <v>66</v>
      </c>
      <c r="F18" s="7" t="s">
        <v>67</v>
      </c>
      <c r="G18" s="7">
        <f>91-8765432109</f>
        <v>-8765432018</v>
      </c>
      <c r="H18" s="7"/>
      <c r="I18" s="7">
        <v>40088</v>
      </c>
      <c r="J18" s="6" t="str">
        <f t="shared" si="0"/>
        <v>(91-765432018)</v>
      </c>
    </row>
    <row r="19" spans="1:10" x14ac:dyDescent="0.3">
      <c r="A19" s="7">
        <v>18</v>
      </c>
      <c r="B19" s="7" t="s">
        <v>68</v>
      </c>
      <c r="C19" s="7">
        <v>28</v>
      </c>
      <c r="D19" s="7" t="s">
        <v>10</v>
      </c>
      <c r="E19" s="7" t="s">
        <v>34</v>
      </c>
      <c r="F19" s="7" t="s">
        <v>69</v>
      </c>
      <c r="G19" s="7">
        <f>91-9876543210</f>
        <v>-9876543119</v>
      </c>
      <c r="H19" s="7" t="s">
        <v>70</v>
      </c>
      <c r="I19" s="7">
        <v>2949</v>
      </c>
      <c r="J19" s="6" t="str">
        <f t="shared" si="0"/>
        <v>(91-876543119)</v>
      </c>
    </row>
    <row r="20" spans="1:10" x14ac:dyDescent="0.3">
      <c r="A20" s="7">
        <v>19</v>
      </c>
      <c r="B20" s="7" t="s">
        <v>71</v>
      </c>
      <c r="C20" s="7">
        <v>30</v>
      </c>
      <c r="D20" s="7" t="s">
        <v>16</v>
      </c>
      <c r="E20" s="7" t="s">
        <v>34</v>
      </c>
      <c r="F20" s="7" t="s">
        <v>72</v>
      </c>
      <c r="G20" s="7">
        <f>91-5555555555</f>
        <v>-5555555464</v>
      </c>
      <c r="H20" s="7" t="s">
        <v>73</v>
      </c>
      <c r="I20" s="7">
        <v>3337</v>
      </c>
      <c r="J20" s="6" t="str">
        <f t="shared" si="0"/>
        <v>(91-555555464)</v>
      </c>
    </row>
    <row r="21" spans="1:10" x14ac:dyDescent="0.3">
      <c r="A21" s="7">
        <v>20</v>
      </c>
      <c r="B21" s="7"/>
      <c r="C21" s="7">
        <v>32</v>
      </c>
      <c r="D21" s="7" t="s">
        <v>10</v>
      </c>
      <c r="E21" s="7" t="s">
        <v>59</v>
      </c>
      <c r="F21" s="7" t="s">
        <v>74</v>
      </c>
      <c r="G21" s="7">
        <f>91-9999999999</f>
        <v>-9999999908</v>
      </c>
      <c r="H21" s="7"/>
      <c r="I21" s="7">
        <v>2857</v>
      </c>
      <c r="J21" s="6" t="str">
        <f t="shared" si="0"/>
        <v>(91-999999908)</v>
      </c>
    </row>
    <row r="22" spans="1:10" x14ac:dyDescent="0.3">
      <c r="A22" s="7">
        <v>21</v>
      </c>
      <c r="B22" s="7" t="s">
        <v>75</v>
      </c>
      <c r="C22" s="7">
        <v>26</v>
      </c>
      <c r="D22" s="7" t="s">
        <v>16</v>
      </c>
      <c r="E22" s="7" t="s">
        <v>62</v>
      </c>
      <c r="F22" s="7" t="s">
        <v>76</v>
      </c>
      <c r="G22" s="7"/>
      <c r="H22" s="7" t="s">
        <v>77</v>
      </c>
      <c r="I22" s="7">
        <v>35969</v>
      </c>
      <c r="J22" s="6" t="str">
        <f t="shared" si="0"/>
        <v>Invalid Phone Number</v>
      </c>
    </row>
    <row r="23" spans="1:10" x14ac:dyDescent="0.3">
      <c r="A23" s="7">
        <v>22</v>
      </c>
      <c r="B23" s="7" t="s">
        <v>78</v>
      </c>
      <c r="C23" s="7">
        <v>33</v>
      </c>
      <c r="D23" s="7" t="s">
        <v>10</v>
      </c>
      <c r="E23" s="7" t="s">
        <v>66</v>
      </c>
      <c r="F23" s="7" t="s">
        <v>79</v>
      </c>
      <c r="G23" s="7">
        <f>91-8888888888</f>
        <v>-8888888797</v>
      </c>
      <c r="H23" s="7" t="s">
        <v>80</v>
      </c>
      <c r="I23" s="7">
        <v>49681</v>
      </c>
      <c r="J23" s="6" t="str">
        <f t="shared" si="0"/>
        <v>(91-888888797)</v>
      </c>
    </row>
    <row r="24" spans="1:10" x14ac:dyDescent="0.3">
      <c r="A24" s="7">
        <v>23</v>
      </c>
      <c r="B24" s="7"/>
      <c r="C24" s="7">
        <v>27</v>
      </c>
      <c r="D24" s="7" t="s">
        <v>16</v>
      </c>
      <c r="E24" s="7" t="s">
        <v>34</v>
      </c>
      <c r="F24" s="7"/>
      <c r="G24" s="7">
        <f>91-7777777777</f>
        <v>-7777777686</v>
      </c>
      <c r="H24" s="7" t="s">
        <v>81</v>
      </c>
      <c r="I24" s="7">
        <v>45102</v>
      </c>
      <c r="J24" s="6" t="str">
        <f t="shared" si="0"/>
        <v>(91-777777686)</v>
      </c>
    </row>
    <row r="25" spans="1:10" x14ac:dyDescent="0.3">
      <c r="A25" s="7">
        <v>24</v>
      </c>
      <c r="B25" s="7" t="s">
        <v>82</v>
      </c>
      <c r="C25" s="7">
        <v>29</v>
      </c>
      <c r="D25" s="7" t="s">
        <v>10</v>
      </c>
      <c r="E25" s="7" t="s">
        <v>11</v>
      </c>
      <c r="F25" s="7" t="s">
        <v>83</v>
      </c>
      <c r="G25" s="7" t="s">
        <v>84</v>
      </c>
      <c r="H25" s="7"/>
      <c r="I25" s="7">
        <v>15853</v>
      </c>
      <c r="J25" s="6" t="str">
        <f t="shared" si="0"/>
        <v>Invalid Phone Number</v>
      </c>
    </row>
    <row r="26" spans="1:10" x14ac:dyDescent="0.3">
      <c r="A26" s="7">
        <v>25</v>
      </c>
      <c r="B26" s="7" t="s">
        <v>85</v>
      </c>
      <c r="C26" s="7"/>
      <c r="D26" s="7" t="s">
        <v>16</v>
      </c>
      <c r="E26" s="7" t="s">
        <v>17</v>
      </c>
      <c r="F26" s="7" t="s">
        <v>86</v>
      </c>
      <c r="G26" s="7">
        <f>91-5555555555</f>
        <v>-5555555464</v>
      </c>
      <c r="H26" s="7" t="s">
        <v>87</v>
      </c>
      <c r="I26" s="7">
        <v>6926</v>
      </c>
      <c r="J26" s="6" t="str">
        <f t="shared" si="0"/>
        <v>(91-555555464)</v>
      </c>
    </row>
    <row r="27" spans="1:10" x14ac:dyDescent="0.3">
      <c r="A27" s="7">
        <v>26</v>
      </c>
      <c r="B27" s="7" t="s">
        <v>88</v>
      </c>
      <c r="C27" s="7">
        <v>31</v>
      </c>
      <c r="D27" s="7" t="s">
        <v>10</v>
      </c>
      <c r="E27" s="7" t="s">
        <v>59</v>
      </c>
      <c r="F27" s="7" t="s">
        <v>89</v>
      </c>
      <c r="G27" s="7"/>
      <c r="H27" s="7" t="s">
        <v>90</v>
      </c>
      <c r="I27" s="7">
        <v>45678</v>
      </c>
      <c r="J27" s="6" t="str">
        <f t="shared" si="0"/>
        <v>Invalid Phone Number</v>
      </c>
    </row>
    <row r="28" spans="1:10" x14ac:dyDescent="0.3">
      <c r="A28" s="7">
        <v>27</v>
      </c>
      <c r="B28" s="7" t="s">
        <v>91</v>
      </c>
      <c r="C28" s="7">
        <v>28</v>
      </c>
      <c r="D28" s="7" t="s">
        <v>16</v>
      </c>
      <c r="E28" s="7" t="s">
        <v>62</v>
      </c>
      <c r="F28" s="7" t="s">
        <v>92</v>
      </c>
      <c r="G28" s="7">
        <f>91-7777777777</f>
        <v>-7777777686</v>
      </c>
      <c r="H28" s="7" t="s">
        <v>93</v>
      </c>
      <c r="I28" s="7">
        <v>8022</v>
      </c>
      <c r="J28" s="6" t="str">
        <f t="shared" si="0"/>
        <v>(91-777777686)</v>
      </c>
    </row>
    <row r="29" spans="1:10" x14ac:dyDescent="0.3">
      <c r="A29" s="7">
        <v>28</v>
      </c>
      <c r="B29" s="7" t="s">
        <v>94</v>
      </c>
      <c r="C29" s="7">
        <v>34</v>
      </c>
      <c r="D29" s="7" t="s">
        <v>10</v>
      </c>
      <c r="E29" s="7" t="s">
        <v>66</v>
      </c>
      <c r="F29" s="7" t="s">
        <v>95</v>
      </c>
      <c r="G29" s="7">
        <f>91-8888888888</f>
        <v>-8888888797</v>
      </c>
      <c r="H29" s="7" t="s">
        <v>96</v>
      </c>
      <c r="I29" s="7">
        <v>3484</v>
      </c>
      <c r="J29" s="6" t="str">
        <f t="shared" si="0"/>
        <v>(91-888888797)</v>
      </c>
    </row>
    <row r="30" spans="1:10" x14ac:dyDescent="0.3">
      <c r="A30" s="7">
        <v>29</v>
      </c>
      <c r="B30" s="7" t="s">
        <v>97</v>
      </c>
      <c r="C30" s="7">
        <v>26</v>
      </c>
      <c r="D30" s="7" t="s">
        <v>16</v>
      </c>
      <c r="E30" s="7" t="s">
        <v>22</v>
      </c>
      <c r="F30" s="7" t="s">
        <v>98</v>
      </c>
      <c r="G30" s="7">
        <f>91-7777777777</f>
        <v>-7777777686</v>
      </c>
      <c r="H30" s="7" t="s">
        <v>99</v>
      </c>
      <c r="I30" s="7">
        <v>11342</v>
      </c>
      <c r="J30" s="6" t="str">
        <f t="shared" si="0"/>
        <v>(91-777777686)</v>
      </c>
    </row>
    <row r="31" spans="1:10" x14ac:dyDescent="0.3">
      <c r="A31" s="7">
        <v>30</v>
      </c>
      <c r="B31" s="7"/>
      <c r="C31" s="7">
        <v>29</v>
      </c>
      <c r="D31" s="7" t="s">
        <v>10</v>
      </c>
      <c r="E31" s="7" t="s">
        <v>27</v>
      </c>
      <c r="F31" s="7" t="s">
        <v>100</v>
      </c>
      <c r="G31" s="7"/>
      <c r="H31" s="7" t="s">
        <v>101</v>
      </c>
      <c r="I31" s="7">
        <v>40940</v>
      </c>
      <c r="J31" s="6" t="str">
        <f t="shared" si="0"/>
        <v>Invalid Phone Number</v>
      </c>
    </row>
    <row r="32" spans="1:10" x14ac:dyDescent="0.3">
      <c r="A32" s="7">
        <v>31</v>
      </c>
      <c r="B32" s="7" t="s">
        <v>42</v>
      </c>
      <c r="C32" s="7">
        <v>27</v>
      </c>
      <c r="D32" s="7" t="s">
        <v>16</v>
      </c>
      <c r="E32" s="7" t="s">
        <v>31</v>
      </c>
      <c r="F32" s="7" t="s">
        <v>102</v>
      </c>
      <c r="G32" s="7">
        <f>91-5555555555</f>
        <v>-5555555464</v>
      </c>
      <c r="H32" s="7"/>
      <c r="I32" s="7">
        <v>41841</v>
      </c>
      <c r="J32" s="6" t="str">
        <f t="shared" si="0"/>
        <v>(91-555555464)</v>
      </c>
    </row>
    <row r="33" spans="1:10" x14ac:dyDescent="0.3">
      <c r="A33" s="7">
        <v>32</v>
      </c>
      <c r="B33" s="7" t="s">
        <v>103</v>
      </c>
      <c r="C33" s="7">
        <v>32</v>
      </c>
      <c r="D33" s="7" t="s">
        <v>10</v>
      </c>
      <c r="E33" s="7" t="s">
        <v>59</v>
      </c>
      <c r="F33" s="7" t="s">
        <v>104</v>
      </c>
      <c r="G33" s="7"/>
      <c r="H33" s="7" t="s">
        <v>105</v>
      </c>
      <c r="I33" s="7">
        <v>39835</v>
      </c>
      <c r="J33" s="6" t="str">
        <f t="shared" si="0"/>
        <v>Invalid Phone Number</v>
      </c>
    </row>
    <row r="34" spans="1:10" x14ac:dyDescent="0.3">
      <c r="A34" s="7">
        <v>33</v>
      </c>
      <c r="B34" s="7"/>
      <c r="C34" s="7">
        <v>33</v>
      </c>
      <c r="D34" s="7" t="s">
        <v>16</v>
      </c>
      <c r="E34" s="7" t="s">
        <v>62</v>
      </c>
      <c r="F34" s="7" t="s">
        <v>106</v>
      </c>
      <c r="G34" s="7">
        <f>91-6666666666</f>
        <v>-6666666575</v>
      </c>
      <c r="H34" s="7" t="s">
        <v>107</v>
      </c>
      <c r="I34" s="7">
        <v>9577</v>
      </c>
      <c r="J34" s="6" t="str">
        <f t="shared" ref="J34:J51" si="1">IF(ISNUMBER(G34), CONCATENATE("(91-", MID(G34, 3, 10), ")"), "Invalid Phone Number")</f>
        <v>(91-666666575)</v>
      </c>
    </row>
    <row r="35" spans="1:10" x14ac:dyDescent="0.3">
      <c r="A35" s="7">
        <v>34</v>
      </c>
      <c r="B35" s="7" t="s">
        <v>108</v>
      </c>
      <c r="C35" s="7">
        <v>30</v>
      </c>
      <c r="D35" s="7" t="s">
        <v>10</v>
      </c>
      <c r="E35" s="7" t="s">
        <v>66</v>
      </c>
      <c r="F35" s="7" t="s">
        <v>109</v>
      </c>
      <c r="G35" s="7"/>
      <c r="H35" s="7" t="s">
        <v>110</v>
      </c>
      <c r="I35" s="7">
        <v>29480</v>
      </c>
      <c r="J35" s="6" t="str">
        <f t="shared" si="1"/>
        <v>Invalid Phone Number</v>
      </c>
    </row>
    <row r="36" spans="1:10" x14ac:dyDescent="0.3">
      <c r="A36" s="7">
        <v>35</v>
      </c>
      <c r="B36" s="7" t="s">
        <v>111</v>
      </c>
      <c r="C36" s="7"/>
      <c r="D36" s="7" t="s">
        <v>16</v>
      </c>
      <c r="E36" s="7" t="s">
        <v>22</v>
      </c>
      <c r="F36" s="7" t="s">
        <v>112</v>
      </c>
      <c r="G36" s="7">
        <f>91-5555555555</f>
        <v>-5555555464</v>
      </c>
      <c r="H36" s="7" t="s">
        <v>113</v>
      </c>
      <c r="I36" s="7">
        <v>14254</v>
      </c>
      <c r="J36" s="6" t="str">
        <f t="shared" si="1"/>
        <v>(91-555555464)</v>
      </c>
    </row>
    <row r="37" spans="1:10" x14ac:dyDescent="0.3">
      <c r="A37" s="7">
        <v>36</v>
      </c>
      <c r="B37" s="7" t="s">
        <v>114</v>
      </c>
      <c r="C37" s="7">
        <v>29</v>
      </c>
      <c r="D37" s="7" t="s">
        <v>10</v>
      </c>
      <c r="E37" s="7" t="s">
        <v>27</v>
      </c>
      <c r="F37" s="7" t="s">
        <v>115</v>
      </c>
      <c r="G37" s="7">
        <f>91-7777777777</f>
        <v>-7777777686</v>
      </c>
      <c r="H37" s="7" t="s">
        <v>116</v>
      </c>
      <c r="I37" s="7">
        <v>37358</v>
      </c>
      <c r="J37" s="6" t="str">
        <f t="shared" si="1"/>
        <v>(91-777777686)</v>
      </c>
    </row>
    <row r="38" spans="1:10" x14ac:dyDescent="0.3">
      <c r="A38" s="7">
        <v>37</v>
      </c>
      <c r="B38" s="7"/>
      <c r="C38" s="7">
        <v>31</v>
      </c>
      <c r="D38" s="7" t="s">
        <v>16</v>
      </c>
      <c r="E38" s="7" t="s">
        <v>31</v>
      </c>
      <c r="F38" s="7" t="s">
        <v>117</v>
      </c>
      <c r="G38" s="7"/>
      <c r="H38" s="7" t="s">
        <v>118</v>
      </c>
      <c r="I38" s="7">
        <v>48367</v>
      </c>
      <c r="J38" s="6" t="str">
        <f t="shared" si="1"/>
        <v>Invalid Phone Number</v>
      </c>
    </row>
    <row r="39" spans="1:10" x14ac:dyDescent="0.3">
      <c r="A39" s="7">
        <v>38</v>
      </c>
      <c r="B39" s="7" t="s">
        <v>119</v>
      </c>
      <c r="C39" s="7">
        <v>28</v>
      </c>
      <c r="D39" s="7" t="s">
        <v>10</v>
      </c>
      <c r="E39" s="7" t="s">
        <v>120</v>
      </c>
      <c r="F39" s="7" t="s">
        <v>121</v>
      </c>
      <c r="G39" s="7">
        <f>91-8888888888</f>
        <v>-8888888797</v>
      </c>
      <c r="H39" s="7" t="s">
        <v>122</v>
      </c>
      <c r="I39" s="7">
        <v>37473</v>
      </c>
      <c r="J39" s="6" t="str">
        <f t="shared" si="1"/>
        <v>(91-888888797)</v>
      </c>
    </row>
    <row r="40" spans="1:10" x14ac:dyDescent="0.3">
      <c r="A40" s="7">
        <v>39</v>
      </c>
      <c r="B40" s="7" t="s">
        <v>123</v>
      </c>
      <c r="C40" s="7">
        <v>33</v>
      </c>
      <c r="D40" s="7" t="s">
        <v>16</v>
      </c>
      <c r="E40" s="7" t="s">
        <v>124</v>
      </c>
      <c r="F40" s="7" t="s">
        <v>125</v>
      </c>
      <c r="G40" s="7">
        <f>91-9999999999</f>
        <v>-9999999908</v>
      </c>
      <c r="H40" s="7" t="s">
        <v>126</v>
      </c>
      <c r="I40" s="7">
        <v>30628</v>
      </c>
      <c r="J40" s="6" t="str">
        <f t="shared" si="1"/>
        <v>(91-999999908)</v>
      </c>
    </row>
    <row r="41" spans="1:10" x14ac:dyDescent="0.3">
      <c r="A41" s="7">
        <v>40</v>
      </c>
      <c r="B41" s="7" t="s">
        <v>127</v>
      </c>
      <c r="C41" s="7">
        <v>30</v>
      </c>
      <c r="D41" s="7" t="s">
        <v>10</v>
      </c>
      <c r="E41" s="7" t="s">
        <v>128</v>
      </c>
      <c r="F41" s="7" t="s">
        <v>129</v>
      </c>
      <c r="G41" s="7"/>
      <c r="H41" s="7" t="s">
        <v>130</v>
      </c>
      <c r="I41" s="7">
        <v>22018</v>
      </c>
      <c r="J41" s="6" t="str">
        <f t="shared" si="1"/>
        <v>Invalid Phone Number</v>
      </c>
    </row>
    <row r="42" spans="1:10" x14ac:dyDescent="0.3">
      <c r="A42" s="7">
        <v>41</v>
      </c>
      <c r="B42" s="7" t="s">
        <v>131</v>
      </c>
      <c r="C42" s="7">
        <v>27</v>
      </c>
      <c r="D42" s="7" t="s">
        <v>16</v>
      </c>
      <c r="E42" s="7" t="s">
        <v>34</v>
      </c>
      <c r="F42" s="7" t="s">
        <v>132</v>
      </c>
      <c r="G42" s="7">
        <f>91-7777777777</f>
        <v>-7777777686</v>
      </c>
      <c r="H42" s="7" t="s">
        <v>133</v>
      </c>
      <c r="I42" s="7">
        <v>35747</v>
      </c>
      <c r="J42" s="6" t="str">
        <f t="shared" si="1"/>
        <v>(91-777777686)</v>
      </c>
    </row>
    <row r="43" spans="1:10" x14ac:dyDescent="0.3">
      <c r="A43" s="7">
        <v>42</v>
      </c>
      <c r="B43" s="7" t="s">
        <v>134</v>
      </c>
      <c r="C43" s="7">
        <v>29</v>
      </c>
      <c r="D43" s="7" t="s">
        <v>10</v>
      </c>
      <c r="E43" s="7" t="s">
        <v>31</v>
      </c>
      <c r="F43" s="7" t="s">
        <v>135</v>
      </c>
      <c r="G43" s="7"/>
      <c r="H43" s="7" t="s">
        <v>136</v>
      </c>
      <c r="I43" s="7">
        <v>32258</v>
      </c>
      <c r="J43" s="6" t="str">
        <f t="shared" si="1"/>
        <v>Invalid Phone Number</v>
      </c>
    </row>
    <row r="44" spans="1:10" x14ac:dyDescent="0.3">
      <c r="A44" s="7">
        <v>43</v>
      </c>
      <c r="B44" s="7" t="s">
        <v>137</v>
      </c>
      <c r="C44" s="7">
        <v>26</v>
      </c>
      <c r="D44" s="7" t="s">
        <v>16</v>
      </c>
      <c r="E44" s="7" t="s">
        <v>59</v>
      </c>
      <c r="F44" s="7" t="s">
        <v>138</v>
      </c>
      <c r="G44" s="7">
        <f>91-5555555555</f>
        <v>-5555555464</v>
      </c>
      <c r="H44" s="7" t="s">
        <v>139</v>
      </c>
      <c r="I44" s="7">
        <v>31047</v>
      </c>
      <c r="J44" s="6" t="str">
        <f t="shared" si="1"/>
        <v>(91-555555464)</v>
      </c>
    </row>
    <row r="45" spans="1:10" x14ac:dyDescent="0.3">
      <c r="A45" s="7">
        <v>44</v>
      </c>
      <c r="B45" s="7"/>
      <c r="C45" s="7">
        <v>28</v>
      </c>
      <c r="D45" s="7" t="s">
        <v>10</v>
      </c>
      <c r="E45" s="7" t="s">
        <v>62</v>
      </c>
      <c r="F45" s="7" t="s">
        <v>140</v>
      </c>
      <c r="G45" s="7"/>
      <c r="H45" s="7" t="s">
        <v>141</v>
      </c>
      <c r="I45" s="7">
        <v>31064</v>
      </c>
      <c r="J45" s="6" t="str">
        <f t="shared" si="1"/>
        <v>Invalid Phone Number</v>
      </c>
    </row>
    <row r="46" spans="1:10" x14ac:dyDescent="0.3">
      <c r="A46" s="7">
        <v>45</v>
      </c>
      <c r="B46" s="7" t="s">
        <v>142</v>
      </c>
      <c r="C46" s="7">
        <v>31</v>
      </c>
      <c r="D46" s="7" t="s">
        <v>10</v>
      </c>
      <c r="E46" s="7" t="s">
        <v>66</v>
      </c>
      <c r="F46" s="7" t="s">
        <v>143</v>
      </c>
      <c r="G46" s="7">
        <f>91-8888888888</f>
        <v>-8888888797</v>
      </c>
      <c r="H46" s="7"/>
      <c r="I46" s="7">
        <v>3108</v>
      </c>
      <c r="J46" s="6" t="str">
        <f t="shared" si="1"/>
        <v>(91-888888797)</v>
      </c>
    </row>
    <row r="47" spans="1:10" x14ac:dyDescent="0.3">
      <c r="A47" s="7">
        <v>46</v>
      </c>
      <c r="B47" s="7" t="s">
        <v>144</v>
      </c>
      <c r="C47" s="7">
        <v>27</v>
      </c>
      <c r="D47" s="7" t="s">
        <v>16</v>
      </c>
      <c r="E47" s="7" t="s">
        <v>120</v>
      </c>
      <c r="F47" s="7" t="s">
        <v>145</v>
      </c>
      <c r="G47" s="7">
        <f>91-7777777777</f>
        <v>-7777777686</v>
      </c>
      <c r="H47" s="7" t="s">
        <v>146</v>
      </c>
      <c r="I47" s="7">
        <v>20205</v>
      </c>
      <c r="J47" s="6" t="str">
        <f t="shared" si="1"/>
        <v>(91-777777686)</v>
      </c>
    </row>
    <row r="48" spans="1:10" x14ac:dyDescent="0.3">
      <c r="A48" s="7">
        <v>47</v>
      </c>
      <c r="B48" s="7"/>
      <c r="C48" s="7">
        <v>29</v>
      </c>
      <c r="D48" s="7" t="s">
        <v>10</v>
      </c>
      <c r="E48" s="7" t="s">
        <v>124</v>
      </c>
      <c r="F48" s="7" t="s">
        <v>147</v>
      </c>
      <c r="G48" s="7"/>
      <c r="H48" s="7" t="s">
        <v>148</v>
      </c>
      <c r="I48" s="7">
        <v>8746</v>
      </c>
      <c r="J48" s="6" t="str">
        <f t="shared" si="1"/>
        <v>Invalid Phone Number</v>
      </c>
    </row>
    <row r="49" spans="1:10" x14ac:dyDescent="0.3">
      <c r="A49" s="7">
        <v>48</v>
      </c>
      <c r="B49" s="7" t="s">
        <v>149</v>
      </c>
      <c r="C49" s="7">
        <v>32</v>
      </c>
      <c r="D49" s="7" t="s">
        <v>16</v>
      </c>
      <c r="E49" s="7" t="s">
        <v>22</v>
      </c>
      <c r="F49" s="7" t="s">
        <v>150</v>
      </c>
      <c r="G49" s="7">
        <f>91-6666666666</f>
        <v>-6666666575</v>
      </c>
      <c r="H49" s="7" t="s">
        <v>151</v>
      </c>
      <c r="I49" s="7">
        <v>15531</v>
      </c>
      <c r="J49" s="6" t="str">
        <f t="shared" si="1"/>
        <v>(91-666666575)</v>
      </c>
    </row>
    <row r="50" spans="1:10" x14ac:dyDescent="0.3">
      <c r="A50" s="7">
        <v>49</v>
      </c>
      <c r="B50" s="7" t="s">
        <v>152</v>
      </c>
      <c r="C50" s="7"/>
      <c r="D50" s="7" t="s">
        <v>10</v>
      </c>
      <c r="E50" s="7" t="s">
        <v>27</v>
      </c>
      <c r="F50" s="7" t="s">
        <v>153</v>
      </c>
      <c r="G50" s="7">
        <f>91-5555555555</f>
        <v>-5555555464</v>
      </c>
      <c r="H50" s="7" t="s">
        <v>154</v>
      </c>
      <c r="I50" s="7">
        <v>23055</v>
      </c>
      <c r="J50" s="6" t="str">
        <f t="shared" si="1"/>
        <v>(91-555555464)</v>
      </c>
    </row>
    <row r="51" spans="1:10" x14ac:dyDescent="0.3">
      <c r="A51" s="7">
        <v>50</v>
      </c>
      <c r="B51" s="7" t="s">
        <v>155</v>
      </c>
      <c r="C51" s="7">
        <v>30</v>
      </c>
      <c r="D51" s="7" t="s">
        <v>16</v>
      </c>
      <c r="E51" s="7" t="s">
        <v>31</v>
      </c>
      <c r="F51" s="7" t="s">
        <v>156</v>
      </c>
      <c r="G51" s="7"/>
      <c r="H51" s="7" t="s">
        <v>157</v>
      </c>
      <c r="I51" s="7">
        <v>18647</v>
      </c>
      <c r="J51" s="6" t="str">
        <f t="shared" si="1"/>
        <v>Invalid Phone Number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76C1-C812-445A-8164-A974118344F6}">
  <dimension ref="A1:J51"/>
  <sheetViews>
    <sheetView topLeftCell="A25" workbookViewId="0">
      <selection activeCell="L46" sqref="L46"/>
    </sheetView>
  </sheetViews>
  <sheetFormatPr defaultRowHeight="14.4" x14ac:dyDescent="0.3"/>
  <cols>
    <col min="5" max="5" width="14.109375" customWidth="1"/>
    <col min="6" max="6" width="22.33203125" customWidth="1"/>
    <col min="7" max="7" width="18.33203125" customWidth="1"/>
    <col min="8" max="8" width="24" customWidth="1"/>
    <col min="9" max="9" width="14.8867187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t="s">
        <v>207</v>
      </c>
    </row>
    <row r="2" spans="1:10" x14ac:dyDescent="0.3">
      <c r="A2" s="2">
        <v>1</v>
      </c>
      <c r="B2" s="2" t="s">
        <v>9</v>
      </c>
      <c r="C2" s="2">
        <v>32</v>
      </c>
      <c r="D2" s="2" t="s">
        <v>10</v>
      </c>
      <c r="E2" s="2" t="s">
        <v>11</v>
      </c>
      <c r="F2" s="2" t="s">
        <v>12</v>
      </c>
      <c r="G2" s="2" t="s">
        <v>13</v>
      </c>
      <c r="H2" s="2" t="s">
        <v>14</v>
      </c>
      <c r="I2" s="2">
        <v>4553</v>
      </c>
      <c r="J2" t="str">
        <f t="shared" ref="J2:J33" si="0">IF(AND(ISBLANK(B2), ISBLANK(F2)), "Delete", "Keep")</f>
        <v>Keep</v>
      </c>
    </row>
    <row r="3" spans="1:10" x14ac:dyDescent="0.3">
      <c r="A3" s="2">
        <v>2</v>
      </c>
      <c r="B3" s="2" t="s">
        <v>15</v>
      </c>
      <c r="C3" s="2">
        <v>28</v>
      </c>
      <c r="D3" s="2" t="s">
        <v>16</v>
      </c>
      <c r="E3" s="2" t="s">
        <v>17</v>
      </c>
      <c r="F3" s="2" t="s">
        <v>18</v>
      </c>
      <c r="G3" s="2" t="s">
        <v>158</v>
      </c>
      <c r="H3" s="2" t="s">
        <v>20</v>
      </c>
      <c r="I3" s="2">
        <v>31169</v>
      </c>
      <c r="J3" t="str">
        <f t="shared" si="0"/>
        <v>Keep</v>
      </c>
    </row>
    <row r="4" spans="1:10" x14ac:dyDescent="0.3">
      <c r="A4" s="2">
        <v>3</v>
      </c>
      <c r="B4" s="2" t="s">
        <v>21</v>
      </c>
      <c r="C4" s="2">
        <v>27</v>
      </c>
      <c r="D4" s="2" t="s">
        <v>10</v>
      </c>
      <c r="E4" s="2" t="s">
        <v>22</v>
      </c>
      <c r="F4" s="2" t="s">
        <v>23</v>
      </c>
      <c r="G4" s="2" t="s">
        <v>159</v>
      </c>
      <c r="H4" s="2" t="s">
        <v>25</v>
      </c>
      <c r="I4" s="2">
        <v>11116</v>
      </c>
      <c r="J4" t="str">
        <f t="shared" si="0"/>
        <v>Keep</v>
      </c>
    </row>
    <row r="5" spans="1:10" x14ac:dyDescent="0.3">
      <c r="A5" s="2">
        <v>4</v>
      </c>
      <c r="B5" s="2" t="s">
        <v>26</v>
      </c>
      <c r="C5" s="2">
        <v>33</v>
      </c>
      <c r="D5" s="2" t="s">
        <v>16</v>
      </c>
      <c r="E5" s="2" t="s">
        <v>27</v>
      </c>
      <c r="F5" s="2" t="s">
        <v>28</v>
      </c>
      <c r="G5" s="2" t="s">
        <v>160</v>
      </c>
      <c r="H5" s="2" t="s">
        <v>30</v>
      </c>
      <c r="I5" s="2">
        <v>33457</v>
      </c>
      <c r="J5" t="str">
        <f t="shared" si="0"/>
        <v>Keep</v>
      </c>
    </row>
    <row r="6" spans="1:10" x14ac:dyDescent="0.3">
      <c r="A6" s="2">
        <v>5</v>
      </c>
      <c r="B6" s="2" t="str">
        <f>IF(B2&lt;&gt;"",B2,LEFT(F2,FIND("@",F2)-1))</f>
        <v>John Doe</v>
      </c>
      <c r="C6" s="2">
        <v>29</v>
      </c>
      <c r="D6" s="2" t="s">
        <v>16</v>
      </c>
      <c r="E6" s="2" t="s">
        <v>31</v>
      </c>
      <c r="F6" s="2" t="s">
        <v>32</v>
      </c>
      <c r="G6" s="2" t="s">
        <v>161</v>
      </c>
      <c r="H6" s="2"/>
      <c r="I6" s="2">
        <v>21918</v>
      </c>
      <c r="J6" t="str">
        <f t="shared" si="0"/>
        <v>Keep</v>
      </c>
    </row>
    <row r="7" spans="1:10" x14ac:dyDescent="0.3">
      <c r="A7" s="2">
        <v>6</v>
      </c>
      <c r="B7" s="2" t="s">
        <v>33</v>
      </c>
      <c r="C7" s="2">
        <v>34</v>
      </c>
      <c r="D7" s="2" t="s">
        <v>10</v>
      </c>
      <c r="E7" s="2" t="s">
        <v>34</v>
      </c>
      <c r="F7" s="2" t="s">
        <v>35</v>
      </c>
      <c r="G7" s="2" t="s">
        <v>162</v>
      </c>
      <c r="H7" s="2" t="s">
        <v>36</v>
      </c>
      <c r="I7" s="2">
        <v>33418</v>
      </c>
      <c r="J7" t="str">
        <f t="shared" si="0"/>
        <v>Keep</v>
      </c>
    </row>
    <row r="8" spans="1:10" x14ac:dyDescent="0.3">
      <c r="A8" s="2">
        <v>7</v>
      </c>
      <c r="B8" s="2" t="s">
        <v>37</v>
      </c>
      <c r="C8" s="2">
        <v>25</v>
      </c>
      <c r="D8" s="2" t="s">
        <v>16</v>
      </c>
      <c r="E8" s="2" t="s">
        <v>22</v>
      </c>
      <c r="F8" s="2"/>
      <c r="G8" s="2" t="s">
        <v>163</v>
      </c>
      <c r="H8" s="2" t="s">
        <v>39</v>
      </c>
      <c r="I8" s="2">
        <v>45828</v>
      </c>
      <c r="J8" t="str">
        <f t="shared" si="0"/>
        <v>Keep</v>
      </c>
    </row>
    <row r="9" spans="1:10" x14ac:dyDescent="0.3">
      <c r="A9" s="2">
        <v>8</v>
      </c>
      <c r="B9" s="2" t="s">
        <v>40</v>
      </c>
      <c r="C9" s="2">
        <v>31</v>
      </c>
      <c r="D9" s="2" t="s">
        <v>10</v>
      </c>
      <c r="E9" s="2" t="s">
        <v>27</v>
      </c>
      <c r="F9" s="2" t="s">
        <v>41</v>
      </c>
      <c r="G9" s="2" t="s">
        <v>164</v>
      </c>
      <c r="H9" s="2"/>
      <c r="I9" s="2">
        <v>45450</v>
      </c>
      <c r="J9" t="str">
        <f t="shared" si="0"/>
        <v>Keep</v>
      </c>
    </row>
    <row r="10" spans="1:10" x14ac:dyDescent="0.3">
      <c r="A10" s="2">
        <v>9</v>
      </c>
      <c r="B10" s="2" t="s">
        <v>42</v>
      </c>
      <c r="C10" s="2">
        <v>27</v>
      </c>
      <c r="D10" s="2" t="s">
        <v>16</v>
      </c>
      <c r="E10" s="2" t="s">
        <v>31</v>
      </c>
      <c r="F10" s="2" t="s">
        <v>43</v>
      </c>
      <c r="G10" s="2" t="s">
        <v>165</v>
      </c>
      <c r="H10" s="2" t="s">
        <v>44</v>
      </c>
      <c r="I10" s="2">
        <v>49938</v>
      </c>
      <c r="J10" t="str">
        <f t="shared" si="0"/>
        <v>Keep</v>
      </c>
    </row>
    <row r="11" spans="1:10" x14ac:dyDescent="0.3">
      <c r="A11" s="2">
        <v>10</v>
      </c>
      <c r="B11" s="2" t="str">
        <f>IF(B2&lt;&gt;"",B2,LEFT(F2,FIND("@",F2)-1))</f>
        <v>John Doe</v>
      </c>
      <c r="C11" s="2">
        <v>35</v>
      </c>
      <c r="D11" s="2" t="s">
        <v>10</v>
      </c>
      <c r="E11" s="2" t="s">
        <v>11</v>
      </c>
      <c r="F11" s="2" t="s">
        <v>45</v>
      </c>
      <c r="G11" s="2" t="s">
        <v>166</v>
      </c>
      <c r="H11" s="2" t="s">
        <v>46</v>
      </c>
      <c r="I11" s="2">
        <v>9818</v>
      </c>
      <c r="J11" t="str">
        <f t="shared" si="0"/>
        <v>Keep</v>
      </c>
    </row>
    <row r="12" spans="1:10" x14ac:dyDescent="0.3">
      <c r="A12" s="2">
        <v>11</v>
      </c>
      <c r="B12" s="2" t="s">
        <v>47</v>
      </c>
      <c r="C12" s="2">
        <f>IF(ISBLANK(C2), AVERAGE($C$2:$C$51), C2)</f>
        <v>32</v>
      </c>
      <c r="D12" s="2" t="s">
        <v>16</v>
      </c>
      <c r="E12" s="2" t="s">
        <v>17</v>
      </c>
      <c r="F12" s="2" t="s">
        <v>48</v>
      </c>
      <c r="G12" s="2" t="s">
        <v>167</v>
      </c>
      <c r="H12" s="2" t="s">
        <v>49</v>
      </c>
      <c r="I12" s="2">
        <v>41836</v>
      </c>
      <c r="J12" t="str">
        <f t="shared" si="0"/>
        <v>Keep</v>
      </c>
    </row>
    <row r="13" spans="1:10" x14ac:dyDescent="0.3">
      <c r="A13" s="2">
        <v>12</v>
      </c>
      <c r="B13" s="2" t="s">
        <v>50</v>
      </c>
      <c r="C13" s="2">
        <f>IF(ISBLANK(C2), AVERAGE($C$2:$C$51), C2)</f>
        <v>32</v>
      </c>
      <c r="D13" s="2" t="s">
        <v>10</v>
      </c>
      <c r="E13" s="2" t="s">
        <v>17</v>
      </c>
      <c r="F13" s="2" t="s">
        <v>51</v>
      </c>
      <c r="G13" s="2" t="s">
        <v>168</v>
      </c>
      <c r="H13" s="2" t="s">
        <v>52</v>
      </c>
      <c r="I13" s="2">
        <v>11901</v>
      </c>
      <c r="J13" t="str">
        <f t="shared" si="0"/>
        <v>Keep</v>
      </c>
    </row>
    <row r="14" spans="1:10" x14ac:dyDescent="0.3">
      <c r="A14" s="2">
        <v>13</v>
      </c>
      <c r="B14" s="2" t="str">
        <f>IF(B2&lt;&gt;"",B2,LEFT(F2,FIND("@",F2)-1))</f>
        <v>John Doe</v>
      </c>
      <c r="C14" s="2">
        <v>26</v>
      </c>
      <c r="D14" s="2" t="s">
        <v>10</v>
      </c>
      <c r="E14" s="2" t="s">
        <v>53</v>
      </c>
      <c r="F14" s="2"/>
      <c r="G14" s="2" t="s">
        <v>169</v>
      </c>
      <c r="H14" s="2" t="s">
        <v>54</v>
      </c>
      <c r="I14" s="2">
        <v>46236</v>
      </c>
      <c r="J14" t="str">
        <f t="shared" si="0"/>
        <v>Keep</v>
      </c>
    </row>
    <row r="15" spans="1:10" x14ac:dyDescent="0.3">
      <c r="A15" s="2">
        <v>14</v>
      </c>
      <c r="B15" s="2"/>
      <c r="C15" s="2">
        <v>28</v>
      </c>
      <c r="D15" s="2" t="s">
        <v>16</v>
      </c>
      <c r="E15" s="2" t="s">
        <v>56</v>
      </c>
      <c r="F15" s="2" t="s">
        <v>57</v>
      </c>
      <c r="G15" s="2" t="s">
        <v>170</v>
      </c>
      <c r="H15" s="2" t="s">
        <v>58</v>
      </c>
      <c r="I15" s="2">
        <v>21978</v>
      </c>
      <c r="J15" t="str">
        <f t="shared" si="0"/>
        <v>Keep</v>
      </c>
    </row>
    <row r="16" spans="1:10" x14ac:dyDescent="0.3">
      <c r="A16" s="2">
        <v>15</v>
      </c>
      <c r="B16" s="2"/>
      <c r="C16" s="2">
        <v>30</v>
      </c>
      <c r="D16" s="2" t="s">
        <v>16</v>
      </c>
      <c r="E16" s="2" t="s">
        <v>59</v>
      </c>
      <c r="F16" s="2" t="s">
        <v>60</v>
      </c>
      <c r="G16" s="2" t="s">
        <v>171</v>
      </c>
      <c r="H16" s="2"/>
      <c r="I16" s="2">
        <v>49400</v>
      </c>
      <c r="J16" t="str">
        <f t="shared" si="0"/>
        <v>Keep</v>
      </c>
    </row>
    <row r="17" spans="1:10" x14ac:dyDescent="0.3">
      <c r="A17" s="2">
        <v>16</v>
      </c>
      <c r="B17" s="2" t="s">
        <v>61</v>
      </c>
      <c r="C17" s="2">
        <v>32</v>
      </c>
      <c r="D17" s="2" t="s">
        <v>10</v>
      </c>
      <c r="E17" s="2" t="s">
        <v>62</v>
      </c>
      <c r="F17" s="2" t="s">
        <v>63</v>
      </c>
      <c r="G17" s="2" t="s">
        <v>172</v>
      </c>
      <c r="H17" s="2" t="s">
        <v>64</v>
      </c>
      <c r="I17" s="2">
        <v>28476</v>
      </c>
      <c r="J17" t="str">
        <f t="shared" si="0"/>
        <v>Keep</v>
      </c>
    </row>
    <row r="18" spans="1:10" x14ac:dyDescent="0.3">
      <c r="A18" s="2">
        <v>17</v>
      </c>
      <c r="B18" s="2" t="s">
        <v>65</v>
      </c>
      <c r="C18" s="2">
        <v>26</v>
      </c>
      <c r="D18" s="2" t="s">
        <v>16</v>
      </c>
      <c r="E18" s="2" t="s">
        <v>66</v>
      </c>
      <c r="F18" s="2" t="s">
        <v>67</v>
      </c>
      <c r="G18" s="2" t="s">
        <v>173</v>
      </c>
      <c r="H18" s="2"/>
      <c r="I18" s="2">
        <v>40088</v>
      </c>
      <c r="J18" t="str">
        <f t="shared" si="0"/>
        <v>Keep</v>
      </c>
    </row>
    <row r="19" spans="1:10" x14ac:dyDescent="0.3">
      <c r="A19" s="2">
        <v>18</v>
      </c>
      <c r="B19" s="2" t="s">
        <v>68</v>
      </c>
      <c r="C19" s="2">
        <v>28</v>
      </c>
      <c r="D19" s="2" t="s">
        <v>10</v>
      </c>
      <c r="E19" s="2" t="s">
        <v>34</v>
      </c>
      <c r="F19" s="2" t="s">
        <v>69</v>
      </c>
      <c r="G19" s="2" t="s">
        <v>174</v>
      </c>
      <c r="H19" s="2" t="s">
        <v>70</v>
      </c>
      <c r="I19" s="2">
        <v>2949</v>
      </c>
      <c r="J19" t="str">
        <f t="shared" si="0"/>
        <v>Keep</v>
      </c>
    </row>
    <row r="20" spans="1:10" x14ac:dyDescent="0.3">
      <c r="A20" s="2">
        <v>19</v>
      </c>
      <c r="B20" s="2" t="s">
        <v>71</v>
      </c>
      <c r="C20" s="2">
        <v>30</v>
      </c>
      <c r="D20" s="2" t="s">
        <v>16</v>
      </c>
      <c r="E20" s="2" t="s">
        <v>34</v>
      </c>
      <c r="F20" s="2" t="s">
        <v>72</v>
      </c>
      <c r="G20" s="2" t="s">
        <v>175</v>
      </c>
      <c r="H20" s="2" t="s">
        <v>73</v>
      </c>
      <c r="I20" s="2">
        <v>3337</v>
      </c>
      <c r="J20" t="str">
        <f t="shared" si="0"/>
        <v>Keep</v>
      </c>
    </row>
    <row r="21" spans="1:10" x14ac:dyDescent="0.3">
      <c r="A21" s="2">
        <v>20</v>
      </c>
      <c r="B21" s="2"/>
      <c r="C21" s="2">
        <v>32</v>
      </c>
      <c r="D21" s="2" t="s">
        <v>10</v>
      </c>
      <c r="E21" s="2" t="s">
        <v>59</v>
      </c>
      <c r="F21" s="2" t="s">
        <v>74</v>
      </c>
      <c r="G21" s="2" t="s">
        <v>176</v>
      </c>
      <c r="H21" s="2"/>
      <c r="I21" s="2">
        <v>2857</v>
      </c>
      <c r="J21" t="str">
        <f t="shared" si="0"/>
        <v>Keep</v>
      </c>
    </row>
    <row r="22" spans="1:10" x14ac:dyDescent="0.3">
      <c r="A22" s="2">
        <v>21</v>
      </c>
      <c r="B22" s="2" t="s">
        <v>75</v>
      </c>
      <c r="C22" s="2">
        <v>26</v>
      </c>
      <c r="D22" s="2" t="s">
        <v>16</v>
      </c>
      <c r="E22" s="2" t="s">
        <v>62</v>
      </c>
      <c r="F22" s="2" t="s">
        <v>76</v>
      </c>
      <c r="G22" s="2" t="s">
        <v>177</v>
      </c>
      <c r="H22" s="2" t="s">
        <v>77</v>
      </c>
      <c r="I22" s="2">
        <v>35969</v>
      </c>
      <c r="J22" t="str">
        <f t="shared" si="0"/>
        <v>Keep</v>
      </c>
    </row>
    <row r="23" spans="1:10" x14ac:dyDescent="0.3">
      <c r="A23" s="2">
        <v>22</v>
      </c>
      <c r="B23" s="2" t="s">
        <v>78</v>
      </c>
      <c r="C23" s="2">
        <v>33</v>
      </c>
      <c r="D23" s="2" t="s">
        <v>10</v>
      </c>
      <c r="E23" s="2" t="s">
        <v>66</v>
      </c>
      <c r="F23" s="2" t="s">
        <v>79</v>
      </c>
      <c r="G23" s="2" t="s">
        <v>178</v>
      </c>
      <c r="H23" s="2" t="s">
        <v>80</v>
      </c>
      <c r="I23" s="2">
        <v>49681</v>
      </c>
      <c r="J23" t="str">
        <f t="shared" si="0"/>
        <v>Keep</v>
      </c>
    </row>
    <row r="24" spans="1:10" x14ac:dyDescent="0.3">
      <c r="A24" s="2">
        <v>23</v>
      </c>
      <c r="B24" s="2"/>
      <c r="C24" s="2">
        <v>27</v>
      </c>
      <c r="D24" s="2" t="s">
        <v>16</v>
      </c>
      <c r="E24" s="2" t="s">
        <v>34</v>
      </c>
      <c r="F24" s="2"/>
      <c r="G24" s="2" t="s">
        <v>179</v>
      </c>
      <c r="H24" s="2" t="s">
        <v>81</v>
      </c>
      <c r="I24" s="2">
        <v>45102</v>
      </c>
      <c r="J24" t="str">
        <f t="shared" si="0"/>
        <v>Delete</v>
      </c>
    </row>
    <row r="25" spans="1:10" x14ac:dyDescent="0.3">
      <c r="A25" s="2">
        <v>24</v>
      </c>
      <c r="B25" s="2" t="s">
        <v>82</v>
      </c>
      <c r="C25" s="2">
        <v>29</v>
      </c>
      <c r="D25" s="2" t="s">
        <v>10</v>
      </c>
      <c r="E25" s="2" t="s">
        <v>11</v>
      </c>
      <c r="F25" s="2" t="s">
        <v>83</v>
      </c>
      <c r="G25" s="2" t="s">
        <v>180</v>
      </c>
      <c r="H25" s="2"/>
      <c r="I25" s="2">
        <v>15853</v>
      </c>
      <c r="J25" t="str">
        <f t="shared" si="0"/>
        <v>Keep</v>
      </c>
    </row>
    <row r="26" spans="1:10" x14ac:dyDescent="0.3">
      <c r="A26" s="2">
        <v>25</v>
      </c>
      <c r="B26" s="2" t="s">
        <v>85</v>
      </c>
      <c r="C26" s="2"/>
      <c r="D26" s="2" t="s">
        <v>16</v>
      </c>
      <c r="E26" s="2" t="s">
        <v>17</v>
      </c>
      <c r="F26" s="2" t="s">
        <v>86</v>
      </c>
      <c r="G26" s="2" t="s">
        <v>181</v>
      </c>
      <c r="H26" s="2" t="s">
        <v>87</v>
      </c>
      <c r="I26" s="2">
        <v>6926</v>
      </c>
      <c r="J26" t="str">
        <f t="shared" si="0"/>
        <v>Keep</v>
      </c>
    </row>
    <row r="27" spans="1:10" x14ac:dyDescent="0.3">
      <c r="A27" s="2">
        <v>26</v>
      </c>
      <c r="B27" s="2" t="s">
        <v>88</v>
      </c>
      <c r="C27" s="2">
        <v>31</v>
      </c>
      <c r="D27" s="2" t="s">
        <v>10</v>
      </c>
      <c r="E27" s="2" t="s">
        <v>59</v>
      </c>
      <c r="F27" s="2" t="s">
        <v>89</v>
      </c>
      <c r="G27" s="2" t="s">
        <v>182</v>
      </c>
      <c r="H27" s="2" t="s">
        <v>90</v>
      </c>
      <c r="I27" s="2">
        <v>45678</v>
      </c>
      <c r="J27" t="str">
        <f t="shared" si="0"/>
        <v>Keep</v>
      </c>
    </row>
    <row r="28" spans="1:10" x14ac:dyDescent="0.3">
      <c r="A28" s="2">
        <v>27</v>
      </c>
      <c r="B28" s="2" t="s">
        <v>91</v>
      </c>
      <c r="C28" s="2">
        <v>28</v>
      </c>
      <c r="D28" s="2" t="s">
        <v>16</v>
      </c>
      <c r="E28" s="2" t="s">
        <v>62</v>
      </c>
      <c r="F28" s="2" t="s">
        <v>92</v>
      </c>
      <c r="G28" s="2" t="s">
        <v>183</v>
      </c>
      <c r="H28" s="2" t="s">
        <v>93</v>
      </c>
      <c r="I28" s="2">
        <v>8022</v>
      </c>
      <c r="J28" t="str">
        <f t="shared" si="0"/>
        <v>Keep</v>
      </c>
    </row>
    <row r="29" spans="1:10" x14ac:dyDescent="0.3">
      <c r="A29" s="2">
        <v>28</v>
      </c>
      <c r="B29" s="2" t="s">
        <v>94</v>
      </c>
      <c r="C29" s="2">
        <v>34</v>
      </c>
      <c r="D29" s="2" t="s">
        <v>10</v>
      </c>
      <c r="E29" s="2" t="s">
        <v>66</v>
      </c>
      <c r="F29" s="2" t="s">
        <v>95</v>
      </c>
      <c r="G29" s="2" t="s">
        <v>184</v>
      </c>
      <c r="H29" s="2" t="s">
        <v>96</v>
      </c>
      <c r="I29" s="2">
        <v>3484</v>
      </c>
      <c r="J29" t="str">
        <f t="shared" si="0"/>
        <v>Keep</v>
      </c>
    </row>
    <row r="30" spans="1:10" x14ac:dyDescent="0.3">
      <c r="A30" s="2">
        <v>29</v>
      </c>
      <c r="B30" s="2" t="s">
        <v>97</v>
      </c>
      <c r="C30" s="2">
        <v>26</v>
      </c>
      <c r="D30" s="2" t="s">
        <v>16</v>
      </c>
      <c r="E30" s="2" t="s">
        <v>22</v>
      </c>
      <c r="F30" s="2" t="s">
        <v>98</v>
      </c>
      <c r="G30" s="2" t="s">
        <v>185</v>
      </c>
      <c r="H30" s="2" t="s">
        <v>99</v>
      </c>
      <c r="I30" s="2">
        <v>11342</v>
      </c>
      <c r="J30" t="str">
        <f t="shared" si="0"/>
        <v>Keep</v>
      </c>
    </row>
    <row r="31" spans="1:10" x14ac:dyDescent="0.3">
      <c r="A31" s="2">
        <v>30</v>
      </c>
      <c r="B31" s="2"/>
      <c r="C31" s="2">
        <v>29</v>
      </c>
      <c r="D31" s="2" t="s">
        <v>10</v>
      </c>
      <c r="E31" s="2" t="s">
        <v>27</v>
      </c>
      <c r="F31" s="2" t="s">
        <v>100</v>
      </c>
      <c r="G31" s="2" t="s">
        <v>186</v>
      </c>
      <c r="H31" s="2" t="s">
        <v>101</v>
      </c>
      <c r="I31" s="2">
        <v>40940</v>
      </c>
      <c r="J31" t="str">
        <f t="shared" si="0"/>
        <v>Keep</v>
      </c>
    </row>
    <row r="32" spans="1:10" x14ac:dyDescent="0.3">
      <c r="A32" s="2">
        <v>31</v>
      </c>
      <c r="B32" s="2" t="s">
        <v>42</v>
      </c>
      <c r="C32" s="2">
        <v>27</v>
      </c>
      <c r="D32" s="2" t="s">
        <v>16</v>
      </c>
      <c r="E32" s="2" t="s">
        <v>31</v>
      </c>
      <c r="F32" s="2" t="s">
        <v>102</v>
      </c>
      <c r="G32" s="2" t="s">
        <v>187</v>
      </c>
      <c r="H32" s="2"/>
      <c r="I32" s="2">
        <v>41841</v>
      </c>
      <c r="J32" t="str">
        <f t="shared" si="0"/>
        <v>Keep</v>
      </c>
    </row>
    <row r="33" spans="1:10" x14ac:dyDescent="0.3">
      <c r="A33" s="2">
        <v>32</v>
      </c>
      <c r="B33" s="2" t="s">
        <v>103</v>
      </c>
      <c r="C33" s="2">
        <v>32</v>
      </c>
      <c r="D33" s="2" t="s">
        <v>10</v>
      </c>
      <c r="E33" s="2" t="s">
        <v>59</v>
      </c>
      <c r="F33" s="2" t="s">
        <v>104</v>
      </c>
      <c r="G33" s="2" t="s">
        <v>188</v>
      </c>
      <c r="H33" s="2" t="s">
        <v>105</v>
      </c>
      <c r="I33" s="2">
        <v>39835</v>
      </c>
      <c r="J33" t="str">
        <f t="shared" si="0"/>
        <v>Keep</v>
      </c>
    </row>
    <row r="34" spans="1:10" x14ac:dyDescent="0.3">
      <c r="A34" s="2">
        <v>33</v>
      </c>
      <c r="B34" s="2"/>
      <c r="C34" s="2">
        <v>33</v>
      </c>
      <c r="D34" s="2" t="s">
        <v>16</v>
      </c>
      <c r="E34" s="2" t="s">
        <v>62</v>
      </c>
      <c r="F34" s="2" t="s">
        <v>106</v>
      </c>
      <c r="G34" s="2" t="s">
        <v>189</v>
      </c>
      <c r="H34" s="2" t="s">
        <v>107</v>
      </c>
      <c r="I34" s="2">
        <v>9577</v>
      </c>
      <c r="J34" t="str">
        <f t="shared" ref="J34:J51" si="1">IF(AND(ISBLANK(B34), ISBLANK(F34)), "Delete", "Keep")</f>
        <v>Keep</v>
      </c>
    </row>
    <row r="35" spans="1:10" x14ac:dyDescent="0.3">
      <c r="A35" s="2">
        <v>34</v>
      </c>
      <c r="B35" s="2" t="s">
        <v>108</v>
      </c>
      <c r="C35" s="2">
        <v>30</v>
      </c>
      <c r="D35" s="2" t="s">
        <v>10</v>
      </c>
      <c r="E35" s="2" t="s">
        <v>66</v>
      </c>
      <c r="F35" s="2" t="s">
        <v>109</v>
      </c>
      <c r="G35" s="2" t="s">
        <v>190</v>
      </c>
      <c r="H35" s="2" t="s">
        <v>110</v>
      </c>
      <c r="I35" s="2">
        <v>29480</v>
      </c>
      <c r="J35" t="str">
        <f t="shared" si="1"/>
        <v>Keep</v>
      </c>
    </row>
    <row r="36" spans="1:10" x14ac:dyDescent="0.3">
      <c r="A36" s="2">
        <v>35</v>
      </c>
      <c r="B36" s="2" t="s">
        <v>111</v>
      </c>
      <c r="C36" s="2"/>
      <c r="D36" s="2" t="s">
        <v>16</v>
      </c>
      <c r="E36" s="2" t="s">
        <v>22</v>
      </c>
      <c r="F36" s="2" t="s">
        <v>112</v>
      </c>
      <c r="G36" s="2" t="s">
        <v>191</v>
      </c>
      <c r="H36" s="2" t="s">
        <v>113</v>
      </c>
      <c r="I36" s="2">
        <v>14254</v>
      </c>
      <c r="J36" t="str">
        <f t="shared" si="1"/>
        <v>Keep</v>
      </c>
    </row>
    <row r="37" spans="1:10" x14ac:dyDescent="0.3">
      <c r="A37" s="2">
        <v>36</v>
      </c>
      <c r="B37" s="2" t="s">
        <v>114</v>
      </c>
      <c r="C37" s="2">
        <v>29</v>
      </c>
      <c r="D37" s="2" t="s">
        <v>10</v>
      </c>
      <c r="E37" s="2" t="s">
        <v>27</v>
      </c>
      <c r="F37" s="2" t="s">
        <v>115</v>
      </c>
      <c r="G37" s="2" t="s">
        <v>192</v>
      </c>
      <c r="H37" s="2" t="s">
        <v>116</v>
      </c>
      <c r="I37" s="2">
        <v>37358</v>
      </c>
      <c r="J37" t="str">
        <f t="shared" si="1"/>
        <v>Keep</v>
      </c>
    </row>
    <row r="38" spans="1:10" x14ac:dyDescent="0.3">
      <c r="A38" s="2">
        <v>37</v>
      </c>
      <c r="B38" s="2"/>
      <c r="C38" s="2">
        <v>31</v>
      </c>
      <c r="D38" s="2" t="s">
        <v>16</v>
      </c>
      <c r="E38" s="2" t="s">
        <v>31</v>
      </c>
      <c r="F38" s="2" t="s">
        <v>117</v>
      </c>
      <c r="G38" s="2" t="s">
        <v>193</v>
      </c>
      <c r="H38" s="2" t="s">
        <v>118</v>
      </c>
      <c r="I38" s="2">
        <v>48367</v>
      </c>
      <c r="J38" t="str">
        <f t="shared" si="1"/>
        <v>Keep</v>
      </c>
    </row>
    <row r="39" spans="1:10" x14ac:dyDescent="0.3">
      <c r="A39" s="2">
        <v>38</v>
      </c>
      <c r="B39" s="2" t="s">
        <v>119</v>
      </c>
      <c r="C39" s="2">
        <v>28</v>
      </c>
      <c r="D39" s="2" t="s">
        <v>10</v>
      </c>
      <c r="E39" s="2" t="s">
        <v>120</v>
      </c>
      <c r="F39" s="2" t="s">
        <v>121</v>
      </c>
      <c r="G39" s="2" t="s">
        <v>194</v>
      </c>
      <c r="H39" s="2" t="s">
        <v>122</v>
      </c>
      <c r="I39" s="2">
        <v>37473</v>
      </c>
      <c r="J39" t="str">
        <f t="shared" si="1"/>
        <v>Keep</v>
      </c>
    </row>
    <row r="40" spans="1:10" x14ac:dyDescent="0.3">
      <c r="A40" s="2">
        <v>39</v>
      </c>
      <c r="B40" s="2" t="s">
        <v>123</v>
      </c>
      <c r="C40" s="2">
        <v>33</v>
      </c>
      <c r="D40" s="2" t="s">
        <v>16</v>
      </c>
      <c r="E40" s="2" t="s">
        <v>124</v>
      </c>
      <c r="F40" s="2" t="s">
        <v>125</v>
      </c>
      <c r="G40" s="2" t="s">
        <v>195</v>
      </c>
      <c r="H40" s="2" t="s">
        <v>126</v>
      </c>
      <c r="I40" s="2">
        <v>30628</v>
      </c>
      <c r="J40" t="str">
        <f t="shared" si="1"/>
        <v>Keep</v>
      </c>
    </row>
    <row r="41" spans="1:10" x14ac:dyDescent="0.3">
      <c r="A41" s="2">
        <v>40</v>
      </c>
      <c r="B41" s="2" t="s">
        <v>127</v>
      </c>
      <c r="C41" s="2">
        <v>30</v>
      </c>
      <c r="D41" s="2" t="s">
        <v>10</v>
      </c>
      <c r="E41" s="2" t="s">
        <v>128</v>
      </c>
      <c r="F41" s="2" t="s">
        <v>129</v>
      </c>
      <c r="G41" s="2" t="s">
        <v>196</v>
      </c>
      <c r="H41" s="2" t="s">
        <v>130</v>
      </c>
      <c r="I41" s="2">
        <v>22018</v>
      </c>
      <c r="J41" t="str">
        <f t="shared" si="1"/>
        <v>Keep</v>
      </c>
    </row>
    <row r="42" spans="1:10" x14ac:dyDescent="0.3">
      <c r="A42" s="2">
        <v>41</v>
      </c>
      <c r="B42" s="2" t="s">
        <v>131</v>
      </c>
      <c r="C42" s="2">
        <v>27</v>
      </c>
      <c r="D42" s="2" t="s">
        <v>16</v>
      </c>
      <c r="E42" s="2" t="s">
        <v>34</v>
      </c>
      <c r="F42" s="2" t="s">
        <v>132</v>
      </c>
      <c r="G42" s="2" t="s">
        <v>197</v>
      </c>
      <c r="H42" s="2" t="s">
        <v>133</v>
      </c>
      <c r="I42" s="2">
        <v>35747</v>
      </c>
      <c r="J42" t="str">
        <f t="shared" si="1"/>
        <v>Keep</v>
      </c>
    </row>
    <row r="43" spans="1:10" x14ac:dyDescent="0.3">
      <c r="A43" s="2">
        <v>42</v>
      </c>
      <c r="B43" s="2" t="s">
        <v>134</v>
      </c>
      <c r="C43" s="2">
        <v>29</v>
      </c>
      <c r="D43" s="2" t="s">
        <v>10</v>
      </c>
      <c r="E43" s="2" t="s">
        <v>31</v>
      </c>
      <c r="F43" s="2" t="s">
        <v>135</v>
      </c>
      <c r="G43" s="2" t="s">
        <v>198</v>
      </c>
      <c r="H43" s="2" t="s">
        <v>136</v>
      </c>
      <c r="I43" s="2">
        <v>32258</v>
      </c>
      <c r="J43" t="str">
        <f t="shared" si="1"/>
        <v>Keep</v>
      </c>
    </row>
    <row r="44" spans="1:10" x14ac:dyDescent="0.3">
      <c r="A44" s="2">
        <v>43</v>
      </c>
      <c r="B44" s="2" t="s">
        <v>137</v>
      </c>
      <c r="C44" s="2">
        <v>26</v>
      </c>
      <c r="D44" s="2" t="s">
        <v>16</v>
      </c>
      <c r="E44" s="2" t="s">
        <v>59</v>
      </c>
      <c r="F44" s="2" t="s">
        <v>138</v>
      </c>
      <c r="G44" s="2" t="s">
        <v>199</v>
      </c>
      <c r="H44" s="2" t="s">
        <v>139</v>
      </c>
      <c r="I44" s="2">
        <v>31047</v>
      </c>
      <c r="J44" t="str">
        <f t="shared" si="1"/>
        <v>Keep</v>
      </c>
    </row>
    <row r="45" spans="1:10" x14ac:dyDescent="0.3">
      <c r="A45" s="2">
        <v>44</v>
      </c>
      <c r="B45" s="2"/>
      <c r="C45" s="2">
        <v>28</v>
      </c>
      <c r="D45" s="2" t="s">
        <v>10</v>
      </c>
      <c r="E45" s="2" t="s">
        <v>62</v>
      </c>
      <c r="F45" s="2" t="s">
        <v>140</v>
      </c>
      <c r="G45" s="2" t="s">
        <v>200</v>
      </c>
      <c r="H45" s="2" t="s">
        <v>141</v>
      </c>
      <c r="I45" s="2">
        <v>31064</v>
      </c>
      <c r="J45" t="str">
        <f t="shared" si="1"/>
        <v>Keep</v>
      </c>
    </row>
    <row r="46" spans="1:10" x14ac:dyDescent="0.3">
      <c r="A46" s="2">
        <v>45</v>
      </c>
      <c r="B46" s="2" t="s">
        <v>142</v>
      </c>
      <c r="C46" s="2">
        <v>31</v>
      </c>
      <c r="D46" s="2" t="s">
        <v>10</v>
      </c>
      <c r="E46" s="2" t="s">
        <v>66</v>
      </c>
      <c r="F46" s="2" t="s">
        <v>143</v>
      </c>
      <c r="G46" s="2" t="s">
        <v>201</v>
      </c>
      <c r="H46" s="2"/>
      <c r="I46" s="2">
        <v>3108</v>
      </c>
      <c r="J46" t="str">
        <f t="shared" si="1"/>
        <v>Keep</v>
      </c>
    </row>
    <row r="47" spans="1:10" x14ac:dyDescent="0.3">
      <c r="A47" s="2">
        <v>46</v>
      </c>
      <c r="B47" s="2" t="s">
        <v>144</v>
      </c>
      <c r="C47" s="2">
        <v>27</v>
      </c>
      <c r="D47" s="2" t="s">
        <v>16</v>
      </c>
      <c r="E47" s="2" t="s">
        <v>120</v>
      </c>
      <c r="F47" s="2" t="s">
        <v>145</v>
      </c>
      <c r="G47" s="2" t="s">
        <v>202</v>
      </c>
      <c r="H47" s="2" t="s">
        <v>146</v>
      </c>
      <c r="I47" s="2">
        <v>20205</v>
      </c>
      <c r="J47" t="str">
        <f t="shared" si="1"/>
        <v>Keep</v>
      </c>
    </row>
    <row r="48" spans="1:10" x14ac:dyDescent="0.3">
      <c r="A48" s="2">
        <v>47</v>
      </c>
      <c r="B48" s="2"/>
      <c r="C48" s="2">
        <v>29</v>
      </c>
      <c r="D48" s="2" t="s">
        <v>10</v>
      </c>
      <c r="E48" s="2" t="s">
        <v>124</v>
      </c>
      <c r="F48" s="2" t="s">
        <v>147</v>
      </c>
      <c r="G48" s="2" t="s">
        <v>203</v>
      </c>
      <c r="H48" s="2" t="s">
        <v>148</v>
      </c>
      <c r="I48" s="2">
        <v>8746</v>
      </c>
      <c r="J48" t="str">
        <f t="shared" si="1"/>
        <v>Keep</v>
      </c>
    </row>
    <row r="49" spans="1:10" x14ac:dyDescent="0.3">
      <c r="A49" s="2">
        <v>48</v>
      </c>
      <c r="B49" s="2" t="s">
        <v>149</v>
      </c>
      <c r="C49" s="2">
        <v>32</v>
      </c>
      <c r="D49" s="2" t="s">
        <v>16</v>
      </c>
      <c r="E49" s="2" t="s">
        <v>22</v>
      </c>
      <c r="F49" s="2" t="s">
        <v>150</v>
      </c>
      <c r="G49" s="2" t="s">
        <v>204</v>
      </c>
      <c r="H49" s="2" t="s">
        <v>151</v>
      </c>
      <c r="I49" s="2">
        <v>15531</v>
      </c>
      <c r="J49" t="str">
        <f t="shared" si="1"/>
        <v>Keep</v>
      </c>
    </row>
    <row r="50" spans="1:10" x14ac:dyDescent="0.3">
      <c r="A50" s="2">
        <v>49</v>
      </c>
      <c r="B50" s="2" t="s">
        <v>152</v>
      </c>
      <c r="C50" s="2"/>
      <c r="D50" s="2" t="s">
        <v>10</v>
      </c>
      <c r="E50" s="2" t="s">
        <v>27</v>
      </c>
      <c r="F50" s="2" t="s">
        <v>153</v>
      </c>
      <c r="G50" s="2" t="s">
        <v>205</v>
      </c>
      <c r="H50" s="2" t="s">
        <v>154</v>
      </c>
      <c r="I50" s="2">
        <v>23055</v>
      </c>
      <c r="J50" t="str">
        <f t="shared" si="1"/>
        <v>Keep</v>
      </c>
    </row>
    <row r="51" spans="1:10" x14ac:dyDescent="0.3">
      <c r="A51" s="2">
        <v>50</v>
      </c>
      <c r="B51" s="2" t="s">
        <v>155</v>
      </c>
      <c r="C51" s="2">
        <v>30</v>
      </c>
      <c r="D51" s="2" t="s">
        <v>16</v>
      </c>
      <c r="E51" s="2" t="s">
        <v>31</v>
      </c>
      <c r="F51" s="2" t="s">
        <v>156</v>
      </c>
      <c r="G51" s="2" t="s">
        <v>206</v>
      </c>
      <c r="H51" s="2" t="s">
        <v>157</v>
      </c>
      <c r="I51" s="2">
        <v>18647</v>
      </c>
      <c r="J51" t="str">
        <f t="shared" si="1"/>
        <v>Keep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7467-26B4-4395-946F-746F391688F6}">
  <dimension ref="A1:J51"/>
  <sheetViews>
    <sheetView topLeftCell="A25" workbookViewId="0">
      <selection activeCell="L34" sqref="L34"/>
    </sheetView>
  </sheetViews>
  <sheetFormatPr defaultRowHeight="14.4" x14ac:dyDescent="0.3"/>
  <cols>
    <col min="5" max="5" width="14.109375" customWidth="1"/>
    <col min="6" max="6" width="22.33203125" customWidth="1"/>
    <col min="7" max="7" width="18.33203125" customWidth="1"/>
    <col min="8" max="8" width="24" customWidth="1"/>
    <col min="9" max="9" width="14.8867187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t="s">
        <v>207</v>
      </c>
    </row>
    <row r="2" spans="1:10" x14ac:dyDescent="0.3">
      <c r="A2" s="2">
        <v>1</v>
      </c>
      <c r="B2" s="2" t="s">
        <v>9</v>
      </c>
      <c r="C2" s="2">
        <v>32</v>
      </c>
      <c r="D2" s="2" t="s">
        <v>10</v>
      </c>
      <c r="E2" s="2" t="s">
        <v>11</v>
      </c>
      <c r="F2" s="2" t="s">
        <v>12</v>
      </c>
      <c r="G2" s="2" t="s">
        <v>13</v>
      </c>
      <c r="H2" s="2" t="s">
        <v>14</v>
      </c>
      <c r="I2" s="2">
        <v>4553</v>
      </c>
      <c r="J2" t="str">
        <f t="shared" ref="J2:J51" si="0">IF(AND(ISBLANK(B2), ISBLANK(F2)), "Delete", "Keep")</f>
        <v>Keep</v>
      </c>
    </row>
    <row r="3" spans="1:10" x14ac:dyDescent="0.3">
      <c r="A3" s="2">
        <v>2</v>
      </c>
      <c r="B3" s="2" t="s">
        <v>15</v>
      </c>
      <c r="C3" s="2">
        <v>28</v>
      </c>
      <c r="D3" s="2" t="s">
        <v>16</v>
      </c>
      <c r="E3" s="2" t="s">
        <v>17</v>
      </c>
      <c r="F3" s="2" t="s">
        <v>18</v>
      </c>
      <c r="G3" s="2" t="s">
        <v>158</v>
      </c>
      <c r="H3" s="2" t="s">
        <v>20</v>
      </c>
      <c r="I3" s="2">
        <v>31169</v>
      </c>
      <c r="J3" t="str">
        <f t="shared" si="0"/>
        <v>Keep</v>
      </c>
    </row>
    <row r="4" spans="1:10" x14ac:dyDescent="0.3">
      <c r="A4" s="2">
        <v>3</v>
      </c>
      <c r="B4" s="2" t="s">
        <v>21</v>
      </c>
      <c r="C4" s="2">
        <v>27</v>
      </c>
      <c r="D4" s="2" t="s">
        <v>10</v>
      </c>
      <c r="E4" s="2" t="s">
        <v>22</v>
      </c>
      <c r="F4" s="2" t="s">
        <v>23</v>
      </c>
      <c r="G4" s="2" t="s">
        <v>159</v>
      </c>
      <c r="H4" s="2" t="s">
        <v>25</v>
      </c>
      <c r="I4" s="2">
        <v>11116</v>
      </c>
      <c r="J4" t="str">
        <f t="shared" si="0"/>
        <v>Keep</v>
      </c>
    </row>
    <row r="5" spans="1:10" x14ac:dyDescent="0.3">
      <c r="A5" s="2">
        <v>4</v>
      </c>
      <c r="B5" s="2" t="s">
        <v>26</v>
      </c>
      <c r="C5" s="2">
        <v>33</v>
      </c>
      <c r="D5" s="2" t="s">
        <v>16</v>
      </c>
      <c r="E5" s="2" t="s">
        <v>27</v>
      </c>
      <c r="F5" s="2" t="s">
        <v>28</v>
      </c>
      <c r="G5" s="2" t="s">
        <v>160</v>
      </c>
      <c r="H5" s="2" t="s">
        <v>30</v>
      </c>
      <c r="I5" s="2">
        <v>33457</v>
      </c>
      <c r="J5" t="str">
        <f t="shared" si="0"/>
        <v>Keep</v>
      </c>
    </row>
    <row r="6" spans="1:10" x14ac:dyDescent="0.3">
      <c r="A6" s="2">
        <v>5</v>
      </c>
      <c r="B6" s="2" t="str">
        <f>IF(B2&lt;&gt;"",B2,LEFT(F2,FIND("@",F2)-1))</f>
        <v>John Doe</v>
      </c>
      <c r="C6" s="2">
        <v>29</v>
      </c>
      <c r="D6" s="2" t="s">
        <v>16</v>
      </c>
      <c r="E6" s="2" t="s">
        <v>31</v>
      </c>
      <c r="F6" s="2" t="s">
        <v>32</v>
      </c>
      <c r="G6" s="2" t="s">
        <v>161</v>
      </c>
      <c r="H6" s="2"/>
      <c r="I6" s="2">
        <v>21918</v>
      </c>
      <c r="J6" t="str">
        <f t="shared" si="0"/>
        <v>Keep</v>
      </c>
    </row>
    <row r="7" spans="1:10" x14ac:dyDescent="0.3">
      <c r="A7" s="2">
        <v>6</v>
      </c>
      <c r="B7" s="2" t="s">
        <v>33</v>
      </c>
      <c r="C7" s="2">
        <v>34</v>
      </c>
      <c r="D7" s="2" t="s">
        <v>10</v>
      </c>
      <c r="E7" s="2" t="s">
        <v>34</v>
      </c>
      <c r="F7" s="2" t="s">
        <v>35</v>
      </c>
      <c r="G7" s="2" t="s">
        <v>162</v>
      </c>
      <c r="H7" s="2" t="s">
        <v>36</v>
      </c>
      <c r="I7" s="2">
        <v>33418</v>
      </c>
      <c r="J7" t="str">
        <f t="shared" si="0"/>
        <v>Keep</v>
      </c>
    </row>
    <row r="8" spans="1:10" x14ac:dyDescent="0.3">
      <c r="A8" s="2">
        <v>7</v>
      </c>
      <c r="B8" s="2" t="s">
        <v>37</v>
      </c>
      <c r="C8" s="2">
        <v>25</v>
      </c>
      <c r="D8" s="2" t="s">
        <v>16</v>
      </c>
      <c r="E8" s="2" t="s">
        <v>22</v>
      </c>
      <c r="F8" s="2"/>
      <c r="G8" s="2" t="s">
        <v>163</v>
      </c>
      <c r="H8" s="2" t="s">
        <v>39</v>
      </c>
      <c r="I8" s="2">
        <v>45828</v>
      </c>
      <c r="J8" t="str">
        <f t="shared" si="0"/>
        <v>Keep</v>
      </c>
    </row>
    <row r="9" spans="1:10" x14ac:dyDescent="0.3">
      <c r="A9" s="2">
        <v>8</v>
      </c>
      <c r="B9" s="2" t="s">
        <v>40</v>
      </c>
      <c r="C9" s="2">
        <v>31</v>
      </c>
      <c r="D9" s="2" t="s">
        <v>10</v>
      </c>
      <c r="E9" s="2" t="s">
        <v>27</v>
      </c>
      <c r="F9" s="2" t="s">
        <v>41</v>
      </c>
      <c r="G9" s="2" t="s">
        <v>164</v>
      </c>
      <c r="H9" s="2"/>
      <c r="I9" s="2">
        <v>45450</v>
      </c>
      <c r="J9" t="str">
        <f t="shared" si="0"/>
        <v>Keep</v>
      </c>
    </row>
    <row r="10" spans="1:10" x14ac:dyDescent="0.3">
      <c r="A10" s="2">
        <v>9</v>
      </c>
      <c r="B10" s="2" t="s">
        <v>42</v>
      </c>
      <c r="C10" s="2">
        <v>27</v>
      </c>
      <c r="D10" s="2" t="s">
        <v>16</v>
      </c>
      <c r="E10" s="2" t="s">
        <v>31</v>
      </c>
      <c r="F10" s="2" t="s">
        <v>43</v>
      </c>
      <c r="G10" s="2" t="s">
        <v>165</v>
      </c>
      <c r="H10" s="2" t="s">
        <v>44</v>
      </c>
      <c r="I10" s="2">
        <v>49938</v>
      </c>
      <c r="J10" t="str">
        <f t="shared" si="0"/>
        <v>Keep</v>
      </c>
    </row>
    <row r="11" spans="1:10" x14ac:dyDescent="0.3">
      <c r="A11" s="2">
        <v>10</v>
      </c>
      <c r="B11" s="2" t="str">
        <f>IF(B2&lt;&gt;"",B2,LEFT(F2,FIND("@",F2)-1))</f>
        <v>John Doe</v>
      </c>
      <c r="C11" s="2">
        <v>35</v>
      </c>
      <c r="D11" s="2" t="s">
        <v>10</v>
      </c>
      <c r="E11" s="2" t="s">
        <v>11</v>
      </c>
      <c r="F11" s="2" t="s">
        <v>45</v>
      </c>
      <c r="G11" s="2" t="s">
        <v>166</v>
      </c>
      <c r="H11" s="2" t="s">
        <v>46</v>
      </c>
      <c r="I11" s="2">
        <v>9818</v>
      </c>
      <c r="J11" t="str">
        <f t="shared" si="0"/>
        <v>Keep</v>
      </c>
    </row>
    <row r="12" spans="1:10" x14ac:dyDescent="0.3">
      <c r="A12" s="2">
        <v>11</v>
      </c>
      <c r="B12" s="2" t="s">
        <v>47</v>
      </c>
      <c r="C12" s="2">
        <f>IF(ISBLANK(C2), AVERAGE($C$2:$C$51), C2)</f>
        <v>32</v>
      </c>
      <c r="D12" s="2" t="s">
        <v>16</v>
      </c>
      <c r="E12" s="2" t="s">
        <v>17</v>
      </c>
      <c r="F12" s="2" t="s">
        <v>48</v>
      </c>
      <c r="G12" s="2" t="s">
        <v>167</v>
      </c>
      <c r="H12" s="2" t="s">
        <v>49</v>
      </c>
      <c r="I12" s="2">
        <v>41836</v>
      </c>
      <c r="J12" t="str">
        <f t="shared" si="0"/>
        <v>Keep</v>
      </c>
    </row>
    <row r="13" spans="1:10" x14ac:dyDescent="0.3">
      <c r="A13" s="2">
        <v>12</v>
      </c>
      <c r="B13" s="2" t="s">
        <v>50</v>
      </c>
      <c r="C13" s="2">
        <f>IF(ISBLANK(C2), AVERAGE($C$2:$C$51), C2)</f>
        <v>32</v>
      </c>
      <c r="D13" s="2" t="s">
        <v>10</v>
      </c>
      <c r="E13" s="2" t="s">
        <v>17</v>
      </c>
      <c r="F13" s="2" t="s">
        <v>51</v>
      </c>
      <c r="G13" s="2" t="s">
        <v>168</v>
      </c>
      <c r="H13" s="2" t="s">
        <v>52</v>
      </c>
      <c r="I13" s="2">
        <v>11901</v>
      </c>
      <c r="J13" t="str">
        <f t="shared" si="0"/>
        <v>Keep</v>
      </c>
    </row>
    <row r="14" spans="1:10" x14ac:dyDescent="0.3">
      <c r="A14" s="2">
        <v>13</v>
      </c>
      <c r="B14" s="2" t="str">
        <f>IF(B2&lt;&gt;"",B2,LEFT(F2,FIND("@",F2)-1))</f>
        <v>John Doe</v>
      </c>
      <c r="C14" s="2">
        <v>26</v>
      </c>
      <c r="D14" s="2" t="s">
        <v>10</v>
      </c>
      <c r="E14" s="2" t="s">
        <v>53</v>
      </c>
      <c r="F14" s="2"/>
      <c r="G14" s="2" t="s">
        <v>169</v>
      </c>
      <c r="H14" s="2" t="s">
        <v>54</v>
      </c>
      <c r="I14" s="2">
        <v>46236</v>
      </c>
      <c r="J14" t="str">
        <f t="shared" si="0"/>
        <v>Keep</v>
      </c>
    </row>
    <row r="15" spans="1:10" x14ac:dyDescent="0.3">
      <c r="A15" s="2">
        <v>14</v>
      </c>
      <c r="B15" s="2"/>
      <c r="C15" s="2">
        <v>28</v>
      </c>
      <c r="D15" s="2" t="s">
        <v>16</v>
      </c>
      <c r="E15" s="2" t="s">
        <v>56</v>
      </c>
      <c r="F15" s="2" t="s">
        <v>57</v>
      </c>
      <c r="G15" s="2" t="s">
        <v>170</v>
      </c>
      <c r="H15" s="2" t="s">
        <v>58</v>
      </c>
      <c r="I15" s="2">
        <v>21978</v>
      </c>
      <c r="J15" t="str">
        <f t="shared" si="0"/>
        <v>Keep</v>
      </c>
    </row>
    <row r="16" spans="1:10" x14ac:dyDescent="0.3">
      <c r="A16" s="2">
        <v>15</v>
      </c>
      <c r="B16" s="2"/>
      <c r="C16" s="2">
        <v>30</v>
      </c>
      <c r="D16" s="2" t="s">
        <v>16</v>
      </c>
      <c r="E16" s="2" t="s">
        <v>59</v>
      </c>
      <c r="F16" s="2" t="s">
        <v>60</v>
      </c>
      <c r="G16" s="2" t="s">
        <v>171</v>
      </c>
      <c r="H16" s="2"/>
      <c r="I16" s="2">
        <v>49400</v>
      </c>
      <c r="J16" t="str">
        <f t="shared" si="0"/>
        <v>Keep</v>
      </c>
    </row>
    <row r="17" spans="1:10" x14ac:dyDescent="0.3">
      <c r="A17" s="2">
        <v>16</v>
      </c>
      <c r="B17" s="2" t="s">
        <v>61</v>
      </c>
      <c r="C17" s="2">
        <v>32</v>
      </c>
      <c r="D17" s="2" t="s">
        <v>10</v>
      </c>
      <c r="E17" s="2" t="s">
        <v>62</v>
      </c>
      <c r="F17" s="2" t="s">
        <v>63</v>
      </c>
      <c r="G17" s="2" t="s">
        <v>172</v>
      </c>
      <c r="H17" s="2" t="s">
        <v>64</v>
      </c>
      <c r="I17" s="2">
        <v>28476</v>
      </c>
      <c r="J17" t="str">
        <f t="shared" si="0"/>
        <v>Keep</v>
      </c>
    </row>
    <row r="18" spans="1:10" x14ac:dyDescent="0.3">
      <c r="A18" s="2">
        <v>17</v>
      </c>
      <c r="B18" s="2" t="s">
        <v>65</v>
      </c>
      <c r="C18" s="2">
        <v>26</v>
      </c>
      <c r="D18" s="2" t="s">
        <v>16</v>
      </c>
      <c r="E18" s="2" t="s">
        <v>66</v>
      </c>
      <c r="F18" s="2" t="s">
        <v>67</v>
      </c>
      <c r="G18" s="2" t="s">
        <v>173</v>
      </c>
      <c r="H18" s="2"/>
      <c r="I18" s="2">
        <v>40088</v>
      </c>
      <c r="J18" t="str">
        <f t="shared" si="0"/>
        <v>Keep</v>
      </c>
    </row>
    <row r="19" spans="1:10" x14ac:dyDescent="0.3">
      <c r="A19" s="2">
        <v>18</v>
      </c>
      <c r="B19" s="2" t="s">
        <v>68</v>
      </c>
      <c r="C19" s="2">
        <v>28</v>
      </c>
      <c r="D19" s="2" t="s">
        <v>10</v>
      </c>
      <c r="E19" s="2" t="s">
        <v>34</v>
      </c>
      <c r="F19" s="2" t="s">
        <v>69</v>
      </c>
      <c r="G19" s="2" t="s">
        <v>174</v>
      </c>
      <c r="H19" s="2" t="s">
        <v>70</v>
      </c>
      <c r="I19" s="2">
        <v>2949</v>
      </c>
      <c r="J19" t="str">
        <f t="shared" si="0"/>
        <v>Keep</v>
      </c>
    </row>
    <row r="20" spans="1:10" x14ac:dyDescent="0.3">
      <c r="A20" s="2">
        <v>19</v>
      </c>
      <c r="B20" s="2" t="s">
        <v>71</v>
      </c>
      <c r="C20" s="2">
        <v>30</v>
      </c>
      <c r="D20" s="2" t="s">
        <v>16</v>
      </c>
      <c r="E20" s="2" t="s">
        <v>34</v>
      </c>
      <c r="F20" s="2" t="s">
        <v>72</v>
      </c>
      <c r="G20" s="2" t="s">
        <v>175</v>
      </c>
      <c r="H20" s="2" t="s">
        <v>73</v>
      </c>
      <c r="I20" s="2">
        <v>3337</v>
      </c>
      <c r="J20" t="str">
        <f t="shared" si="0"/>
        <v>Keep</v>
      </c>
    </row>
    <row r="21" spans="1:10" x14ac:dyDescent="0.3">
      <c r="A21" s="2">
        <v>20</v>
      </c>
      <c r="B21" s="2"/>
      <c r="C21" s="2">
        <v>32</v>
      </c>
      <c r="D21" s="2" t="s">
        <v>10</v>
      </c>
      <c r="E21" s="2" t="s">
        <v>59</v>
      </c>
      <c r="F21" s="2" t="s">
        <v>74</v>
      </c>
      <c r="G21" s="2" t="s">
        <v>176</v>
      </c>
      <c r="H21" s="2"/>
      <c r="I21" s="2">
        <v>2857</v>
      </c>
      <c r="J21" t="str">
        <f t="shared" si="0"/>
        <v>Keep</v>
      </c>
    </row>
    <row r="22" spans="1:10" x14ac:dyDescent="0.3">
      <c r="A22" s="2">
        <v>21</v>
      </c>
      <c r="B22" s="2" t="s">
        <v>75</v>
      </c>
      <c r="C22" s="2">
        <v>26</v>
      </c>
      <c r="D22" s="2" t="s">
        <v>16</v>
      </c>
      <c r="E22" s="2" t="s">
        <v>62</v>
      </c>
      <c r="F22" s="2" t="s">
        <v>76</v>
      </c>
      <c r="G22" s="2" t="s">
        <v>177</v>
      </c>
      <c r="H22" s="2" t="s">
        <v>77</v>
      </c>
      <c r="I22" s="2">
        <v>35969</v>
      </c>
      <c r="J22" t="str">
        <f t="shared" si="0"/>
        <v>Keep</v>
      </c>
    </row>
    <row r="23" spans="1:10" x14ac:dyDescent="0.3">
      <c r="A23" s="2">
        <v>22</v>
      </c>
      <c r="B23" s="2" t="s">
        <v>78</v>
      </c>
      <c r="C23" s="2">
        <v>33</v>
      </c>
      <c r="D23" s="2" t="s">
        <v>10</v>
      </c>
      <c r="E23" s="2" t="s">
        <v>66</v>
      </c>
      <c r="F23" s="2" t="s">
        <v>79</v>
      </c>
      <c r="G23" s="2" t="s">
        <v>178</v>
      </c>
      <c r="H23" s="2" t="s">
        <v>80</v>
      </c>
      <c r="I23" s="2">
        <v>49681</v>
      </c>
      <c r="J23" t="str">
        <f t="shared" si="0"/>
        <v>Keep</v>
      </c>
    </row>
    <row r="24" spans="1:10" x14ac:dyDescent="0.3">
      <c r="A24" s="2">
        <v>23</v>
      </c>
      <c r="B24" s="2"/>
      <c r="C24" s="2">
        <v>27</v>
      </c>
      <c r="D24" s="2" t="s">
        <v>16</v>
      </c>
      <c r="E24" s="2" t="s">
        <v>34</v>
      </c>
      <c r="F24" s="2"/>
      <c r="G24" s="2" t="s">
        <v>179</v>
      </c>
      <c r="H24" s="2" t="s">
        <v>81</v>
      </c>
      <c r="I24" s="2">
        <v>45102</v>
      </c>
      <c r="J24" t="str">
        <f t="shared" si="0"/>
        <v>Delete</v>
      </c>
    </row>
    <row r="25" spans="1:10" x14ac:dyDescent="0.3">
      <c r="A25" s="2">
        <v>24</v>
      </c>
      <c r="B25" s="2" t="s">
        <v>82</v>
      </c>
      <c r="C25" s="2">
        <v>29</v>
      </c>
      <c r="D25" s="2" t="s">
        <v>10</v>
      </c>
      <c r="E25" s="2" t="s">
        <v>11</v>
      </c>
      <c r="F25" s="2" t="s">
        <v>83</v>
      </c>
      <c r="G25" s="2" t="s">
        <v>180</v>
      </c>
      <c r="H25" s="2"/>
      <c r="I25" s="2">
        <v>15853</v>
      </c>
      <c r="J25" t="str">
        <f t="shared" si="0"/>
        <v>Keep</v>
      </c>
    </row>
    <row r="26" spans="1:10" x14ac:dyDescent="0.3">
      <c r="A26" s="2">
        <v>25</v>
      </c>
      <c r="B26" s="2" t="s">
        <v>85</v>
      </c>
      <c r="C26" s="2"/>
      <c r="D26" s="2" t="s">
        <v>16</v>
      </c>
      <c r="E26" s="2" t="s">
        <v>17</v>
      </c>
      <c r="F26" s="2" t="s">
        <v>86</v>
      </c>
      <c r="G26" s="2" t="s">
        <v>181</v>
      </c>
      <c r="H26" s="2" t="s">
        <v>87</v>
      </c>
      <c r="I26" s="2">
        <v>6926</v>
      </c>
      <c r="J26" t="str">
        <f t="shared" si="0"/>
        <v>Keep</v>
      </c>
    </row>
    <row r="27" spans="1:10" x14ac:dyDescent="0.3">
      <c r="A27" s="2">
        <v>26</v>
      </c>
      <c r="B27" s="2" t="s">
        <v>88</v>
      </c>
      <c r="C27" s="2">
        <v>31</v>
      </c>
      <c r="D27" s="2" t="s">
        <v>10</v>
      </c>
      <c r="E27" s="2" t="s">
        <v>59</v>
      </c>
      <c r="F27" s="2" t="s">
        <v>89</v>
      </c>
      <c r="G27" s="2" t="s">
        <v>182</v>
      </c>
      <c r="H27" s="2" t="s">
        <v>90</v>
      </c>
      <c r="I27" s="2">
        <v>45678</v>
      </c>
      <c r="J27" t="str">
        <f t="shared" si="0"/>
        <v>Keep</v>
      </c>
    </row>
    <row r="28" spans="1:10" x14ac:dyDescent="0.3">
      <c r="A28" s="2">
        <v>27</v>
      </c>
      <c r="B28" s="2" t="s">
        <v>91</v>
      </c>
      <c r="C28" s="2">
        <v>28</v>
      </c>
      <c r="D28" s="2" t="s">
        <v>16</v>
      </c>
      <c r="E28" s="2" t="s">
        <v>62</v>
      </c>
      <c r="F28" s="2" t="s">
        <v>92</v>
      </c>
      <c r="G28" s="2" t="s">
        <v>183</v>
      </c>
      <c r="H28" s="2" t="s">
        <v>93</v>
      </c>
      <c r="I28" s="2">
        <v>8022</v>
      </c>
      <c r="J28" t="str">
        <f t="shared" si="0"/>
        <v>Keep</v>
      </c>
    </row>
    <row r="29" spans="1:10" x14ac:dyDescent="0.3">
      <c r="A29" s="2">
        <v>28</v>
      </c>
      <c r="B29" s="2" t="s">
        <v>94</v>
      </c>
      <c r="C29" s="2">
        <v>34</v>
      </c>
      <c r="D29" s="2" t="s">
        <v>10</v>
      </c>
      <c r="E29" s="2" t="s">
        <v>66</v>
      </c>
      <c r="F29" s="2" t="s">
        <v>95</v>
      </c>
      <c r="G29" s="2" t="s">
        <v>184</v>
      </c>
      <c r="H29" s="2" t="s">
        <v>96</v>
      </c>
      <c r="I29" s="2">
        <v>3484</v>
      </c>
      <c r="J29" t="str">
        <f t="shared" si="0"/>
        <v>Keep</v>
      </c>
    </row>
    <row r="30" spans="1:10" x14ac:dyDescent="0.3">
      <c r="A30" s="2">
        <v>29</v>
      </c>
      <c r="B30" s="2" t="s">
        <v>97</v>
      </c>
      <c r="C30" s="2">
        <v>26</v>
      </c>
      <c r="D30" s="2" t="s">
        <v>16</v>
      </c>
      <c r="E30" s="2" t="s">
        <v>22</v>
      </c>
      <c r="F30" s="2" t="s">
        <v>98</v>
      </c>
      <c r="G30" s="2" t="s">
        <v>185</v>
      </c>
      <c r="H30" s="2" t="s">
        <v>99</v>
      </c>
      <c r="I30" s="2">
        <v>11342</v>
      </c>
      <c r="J30" t="str">
        <f t="shared" si="0"/>
        <v>Keep</v>
      </c>
    </row>
    <row r="31" spans="1:10" x14ac:dyDescent="0.3">
      <c r="A31" s="2">
        <v>30</v>
      </c>
      <c r="B31" s="2"/>
      <c r="C31" s="2">
        <v>29</v>
      </c>
      <c r="D31" s="2" t="s">
        <v>10</v>
      </c>
      <c r="E31" s="2" t="s">
        <v>27</v>
      </c>
      <c r="F31" s="2" t="s">
        <v>100</v>
      </c>
      <c r="G31" s="2" t="s">
        <v>186</v>
      </c>
      <c r="H31" s="2" t="s">
        <v>101</v>
      </c>
      <c r="I31" s="2">
        <v>40940</v>
      </c>
      <c r="J31" t="str">
        <f t="shared" si="0"/>
        <v>Keep</v>
      </c>
    </row>
    <row r="32" spans="1:10" x14ac:dyDescent="0.3">
      <c r="A32" s="2">
        <v>31</v>
      </c>
      <c r="B32" s="2" t="s">
        <v>42</v>
      </c>
      <c r="C32" s="2">
        <v>27</v>
      </c>
      <c r="D32" s="2" t="s">
        <v>16</v>
      </c>
      <c r="E32" s="2" t="s">
        <v>31</v>
      </c>
      <c r="F32" s="2" t="s">
        <v>102</v>
      </c>
      <c r="G32" s="2" t="s">
        <v>187</v>
      </c>
      <c r="H32" s="2"/>
      <c r="I32" s="2">
        <v>41841</v>
      </c>
      <c r="J32" t="str">
        <f t="shared" si="0"/>
        <v>Keep</v>
      </c>
    </row>
    <row r="33" spans="1:10" x14ac:dyDescent="0.3">
      <c r="A33" s="2">
        <v>32</v>
      </c>
      <c r="B33" s="2" t="s">
        <v>103</v>
      </c>
      <c r="C33" s="2">
        <v>32</v>
      </c>
      <c r="D33" s="2" t="s">
        <v>10</v>
      </c>
      <c r="E33" s="2" t="s">
        <v>59</v>
      </c>
      <c r="F33" s="2" t="s">
        <v>104</v>
      </c>
      <c r="G33" s="2" t="s">
        <v>188</v>
      </c>
      <c r="H33" s="2" t="s">
        <v>105</v>
      </c>
      <c r="I33" s="2">
        <v>39835</v>
      </c>
      <c r="J33" t="str">
        <f t="shared" si="0"/>
        <v>Keep</v>
      </c>
    </row>
    <row r="34" spans="1:10" x14ac:dyDescent="0.3">
      <c r="A34" s="2">
        <v>33</v>
      </c>
      <c r="B34" s="2"/>
      <c r="C34" s="2">
        <v>33</v>
      </c>
      <c r="D34" s="2" t="s">
        <v>16</v>
      </c>
      <c r="E34" s="2" t="s">
        <v>62</v>
      </c>
      <c r="F34" s="2" t="s">
        <v>106</v>
      </c>
      <c r="G34" s="2" t="s">
        <v>189</v>
      </c>
      <c r="H34" s="2" t="s">
        <v>107</v>
      </c>
      <c r="I34" s="2">
        <v>9577</v>
      </c>
      <c r="J34" t="str">
        <f t="shared" si="0"/>
        <v>Keep</v>
      </c>
    </row>
    <row r="35" spans="1:10" x14ac:dyDescent="0.3">
      <c r="A35" s="2">
        <v>34</v>
      </c>
      <c r="B35" s="2" t="s">
        <v>108</v>
      </c>
      <c r="C35" s="2">
        <v>30</v>
      </c>
      <c r="D35" s="2" t="s">
        <v>10</v>
      </c>
      <c r="E35" s="2" t="s">
        <v>66</v>
      </c>
      <c r="F35" s="2" t="s">
        <v>109</v>
      </c>
      <c r="G35" s="2" t="s">
        <v>190</v>
      </c>
      <c r="H35" s="2" t="s">
        <v>110</v>
      </c>
      <c r="I35" s="2">
        <v>29480</v>
      </c>
      <c r="J35" t="str">
        <f t="shared" si="0"/>
        <v>Keep</v>
      </c>
    </row>
    <row r="36" spans="1:10" x14ac:dyDescent="0.3">
      <c r="A36" s="2">
        <v>35</v>
      </c>
      <c r="B36" s="2" t="s">
        <v>111</v>
      </c>
      <c r="C36" s="2"/>
      <c r="D36" s="2" t="s">
        <v>16</v>
      </c>
      <c r="E36" s="2" t="s">
        <v>22</v>
      </c>
      <c r="F36" s="2" t="s">
        <v>112</v>
      </c>
      <c r="G36" s="2" t="s">
        <v>191</v>
      </c>
      <c r="H36" s="2" t="s">
        <v>113</v>
      </c>
      <c r="I36" s="2">
        <v>14254</v>
      </c>
      <c r="J36" t="str">
        <f t="shared" si="0"/>
        <v>Keep</v>
      </c>
    </row>
    <row r="37" spans="1:10" x14ac:dyDescent="0.3">
      <c r="A37" s="2">
        <v>36</v>
      </c>
      <c r="B37" s="2" t="s">
        <v>114</v>
      </c>
      <c r="C37" s="2">
        <v>29</v>
      </c>
      <c r="D37" s="2" t="s">
        <v>10</v>
      </c>
      <c r="E37" s="2" t="s">
        <v>27</v>
      </c>
      <c r="F37" s="2" t="s">
        <v>115</v>
      </c>
      <c r="G37" s="2" t="s">
        <v>192</v>
      </c>
      <c r="H37" s="2" t="s">
        <v>116</v>
      </c>
      <c r="I37" s="2">
        <v>37358</v>
      </c>
      <c r="J37" t="str">
        <f t="shared" si="0"/>
        <v>Keep</v>
      </c>
    </row>
    <row r="38" spans="1:10" x14ac:dyDescent="0.3">
      <c r="A38" s="2">
        <v>37</v>
      </c>
      <c r="B38" s="2"/>
      <c r="C38" s="2">
        <v>31</v>
      </c>
      <c r="D38" s="2" t="s">
        <v>16</v>
      </c>
      <c r="E38" s="2" t="s">
        <v>31</v>
      </c>
      <c r="F38" s="2" t="s">
        <v>117</v>
      </c>
      <c r="G38" s="2" t="s">
        <v>193</v>
      </c>
      <c r="H38" s="2" t="s">
        <v>118</v>
      </c>
      <c r="I38" s="2">
        <v>48367</v>
      </c>
      <c r="J38" t="str">
        <f t="shared" si="0"/>
        <v>Keep</v>
      </c>
    </row>
    <row r="39" spans="1:10" x14ac:dyDescent="0.3">
      <c r="A39" s="2">
        <v>38</v>
      </c>
      <c r="B39" s="2" t="s">
        <v>119</v>
      </c>
      <c r="C39" s="2">
        <v>28</v>
      </c>
      <c r="D39" s="2" t="s">
        <v>10</v>
      </c>
      <c r="E39" s="2" t="s">
        <v>120</v>
      </c>
      <c r="F39" s="2" t="s">
        <v>121</v>
      </c>
      <c r="G39" s="2" t="s">
        <v>194</v>
      </c>
      <c r="H39" s="2" t="s">
        <v>122</v>
      </c>
      <c r="I39" s="2">
        <v>37473</v>
      </c>
      <c r="J39" t="str">
        <f t="shared" si="0"/>
        <v>Keep</v>
      </c>
    </row>
    <row r="40" spans="1:10" x14ac:dyDescent="0.3">
      <c r="A40" s="2">
        <v>39</v>
      </c>
      <c r="B40" s="2" t="s">
        <v>123</v>
      </c>
      <c r="C40" s="2">
        <v>33</v>
      </c>
      <c r="D40" s="2" t="s">
        <v>16</v>
      </c>
      <c r="E40" s="2" t="s">
        <v>124</v>
      </c>
      <c r="F40" s="2" t="s">
        <v>125</v>
      </c>
      <c r="G40" s="2" t="s">
        <v>195</v>
      </c>
      <c r="H40" s="2" t="s">
        <v>126</v>
      </c>
      <c r="I40" s="2">
        <v>30628</v>
      </c>
      <c r="J40" t="str">
        <f t="shared" si="0"/>
        <v>Keep</v>
      </c>
    </row>
    <row r="41" spans="1:10" x14ac:dyDescent="0.3">
      <c r="A41" s="2">
        <v>40</v>
      </c>
      <c r="B41" s="2" t="s">
        <v>127</v>
      </c>
      <c r="C41" s="2">
        <v>30</v>
      </c>
      <c r="D41" s="2" t="s">
        <v>10</v>
      </c>
      <c r="E41" s="2" t="s">
        <v>128</v>
      </c>
      <c r="F41" s="2" t="s">
        <v>129</v>
      </c>
      <c r="G41" s="2" t="s">
        <v>196</v>
      </c>
      <c r="H41" s="2" t="s">
        <v>130</v>
      </c>
      <c r="I41" s="2">
        <v>22018</v>
      </c>
      <c r="J41" t="str">
        <f t="shared" si="0"/>
        <v>Keep</v>
      </c>
    </row>
    <row r="42" spans="1:10" x14ac:dyDescent="0.3">
      <c r="A42" s="2">
        <v>41</v>
      </c>
      <c r="B42" s="2" t="s">
        <v>131</v>
      </c>
      <c r="C42" s="2">
        <v>27</v>
      </c>
      <c r="D42" s="2" t="s">
        <v>16</v>
      </c>
      <c r="E42" s="2" t="s">
        <v>34</v>
      </c>
      <c r="F42" s="2" t="s">
        <v>132</v>
      </c>
      <c r="G42" s="2" t="s">
        <v>197</v>
      </c>
      <c r="H42" s="2" t="s">
        <v>133</v>
      </c>
      <c r="I42" s="2">
        <v>35747</v>
      </c>
      <c r="J42" t="str">
        <f t="shared" si="0"/>
        <v>Keep</v>
      </c>
    </row>
    <row r="43" spans="1:10" x14ac:dyDescent="0.3">
      <c r="A43" s="2">
        <v>42</v>
      </c>
      <c r="B43" s="2" t="s">
        <v>134</v>
      </c>
      <c r="C43" s="2">
        <v>29</v>
      </c>
      <c r="D43" s="2" t="s">
        <v>10</v>
      </c>
      <c r="E43" s="2" t="s">
        <v>31</v>
      </c>
      <c r="F43" s="2" t="s">
        <v>135</v>
      </c>
      <c r="G43" s="2" t="s">
        <v>198</v>
      </c>
      <c r="H43" s="2" t="s">
        <v>136</v>
      </c>
      <c r="I43" s="2">
        <v>32258</v>
      </c>
      <c r="J43" t="str">
        <f t="shared" si="0"/>
        <v>Keep</v>
      </c>
    </row>
    <row r="44" spans="1:10" x14ac:dyDescent="0.3">
      <c r="A44" s="2">
        <v>43</v>
      </c>
      <c r="B44" s="2" t="s">
        <v>137</v>
      </c>
      <c r="C44" s="2">
        <v>26</v>
      </c>
      <c r="D44" s="2" t="s">
        <v>16</v>
      </c>
      <c r="E44" s="2" t="s">
        <v>59</v>
      </c>
      <c r="F44" s="2" t="s">
        <v>138</v>
      </c>
      <c r="G44" s="2" t="s">
        <v>199</v>
      </c>
      <c r="H44" s="2" t="s">
        <v>139</v>
      </c>
      <c r="I44" s="2">
        <v>31047</v>
      </c>
      <c r="J44" t="str">
        <f t="shared" si="0"/>
        <v>Keep</v>
      </c>
    </row>
    <row r="45" spans="1:10" x14ac:dyDescent="0.3">
      <c r="A45" s="2">
        <v>44</v>
      </c>
      <c r="B45" s="2"/>
      <c r="C45" s="2">
        <v>28</v>
      </c>
      <c r="D45" s="2" t="s">
        <v>10</v>
      </c>
      <c r="E45" s="2" t="s">
        <v>62</v>
      </c>
      <c r="F45" s="2" t="s">
        <v>140</v>
      </c>
      <c r="G45" s="2" t="s">
        <v>200</v>
      </c>
      <c r="H45" s="2" t="s">
        <v>141</v>
      </c>
      <c r="I45" s="2">
        <v>31064</v>
      </c>
      <c r="J45" t="str">
        <f t="shared" si="0"/>
        <v>Keep</v>
      </c>
    </row>
    <row r="46" spans="1:10" x14ac:dyDescent="0.3">
      <c r="A46" s="2">
        <v>45</v>
      </c>
      <c r="B46" s="2" t="s">
        <v>142</v>
      </c>
      <c r="C46" s="2">
        <v>31</v>
      </c>
      <c r="D46" s="2" t="s">
        <v>10</v>
      </c>
      <c r="E46" s="2" t="s">
        <v>66</v>
      </c>
      <c r="F46" s="2" t="s">
        <v>143</v>
      </c>
      <c r="G46" s="2" t="s">
        <v>201</v>
      </c>
      <c r="H46" s="2"/>
      <c r="I46" s="2">
        <v>3108</v>
      </c>
      <c r="J46" t="str">
        <f t="shared" si="0"/>
        <v>Keep</v>
      </c>
    </row>
    <row r="47" spans="1:10" x14ac:dyDescent="0.3">
      <c r="A47" s="2">
        <v>46</v>
      </c>
      <c r="B47" s="2" t="s">
        <v>144</v>
      </c>
      <c r="C47" s="2">
        <v>27</v>
      </c>
      <c r="D47" s="2" t="s">
        <v>16</v>
      </c>
      <c r="E47" s="2" t="s">
        <v>120</v>
      </c>
      <c r="F47" s="2" t="s">
        <v>145</v>
      </c>
      <c r="G47" s="2" t="s">
        <v>202</v>
      </c>
      <c r="H47" s="2" t="s">
        <v>146</v>
      </c>
      <c r="I47" s="2">
        <v>20205</v>
      </c>
      <c r="J47" t="str">
        <f t="shared" si="0"/>
        <v>Keep</v>
      </c>
    </row>
    <row r="48" spans="1:10" x14ac:dyDescent="0.3">
      <c r="A48" s="2">
        <v>47</v>
      </c>
      <c r="B48" s="2"/>
      <c r="C48" s="2">
        <v>29</v>
      </c>
      <c r="D48" s="2" t="s">
        <v>10</v>
      </c>
      <c r="E48" s="2" t="s">
        <v>124</v>
      </c>
      <c r="F48" s="2" t="s">
        <v>147</v>
      </c>
      <c r="G48" s="2" t="s">
        <v>203</v>
      </c>
      <c r="H48" s="2" t="s">
        <v>148</v>
      </c>
      <c r="I48" s="2">
        <v>8746</v>
      </c>
      <c r="J48" t="str">
        <f t="shared" si="0"/>
        <v>Keep</v>
      </c>
    </row>
    <row r="49" spans="1:10" x14ac:dyDescent="0.3">
      <c r="A49" s="2">
        <v>48</v>
      </c>
      <c r="B49" s="2" t="s">
        <v>149</v>
      </c>
      <c r="C49" s="2">
        <v>32</v>
      </c>
      <c r="D49" s="2" t="s">
        <v>16</v>
      </c>
      <c r="E49" s="2" t="s">
        <v>22</v>
      </c>
      <c r="F49" s="2" t="s">
        <v>150</v>
      </c>
      <c r="G49" s="2" t="s">
        <v>204</v>
      </c>
      <c r="H49" s="2" t="s">
        <v>151</v>
      </c>
      <c r="I49" s="2">
        <v>15531</v>
      </c>
      <c r="J49" t="str">
        <f t="shared" si="0"/>
        <v>Keep</v>
      </c>
    </row>
    <row r="50" spans="1:10" x14ac:dyDescent="0.3">
      <c r="A50" s="2">
        <v>49</v>
      </c>
      <c r="B50" s="2" t="s">
        <v>152</v>
      </c>
      <c r="C50" s="2"/>
      <c r="D50" s="2" t="s">
        <v>10</v>
      </c>
      <c r="E50" s="2" t="s">
        <v>27</v>
      </c>
      <c r="F50" s="2" t="s">
        <v>153</v>
      </c>
      <c r="G50" s="2" t="s">
        <v>205</v>
      </c>
      <c r="H50" s="2" t="s">
        <v>154</v>
      </c>
      <c r="I50" s="2">
        <v>23055</v>
      </c>
      <c r="J50" t="str">
        <f t="shared" si="0"/>
        <v>Keep</v>
      </c>
    </row>
    <row r="51" spans="1:10" x14ac:dyDescent="0.3">
      <c r="A51" s="2">
        <v>50</v>
      </c>
      <c r="B51" s="2" t="s">
        <v>155</v>
      </c>
      <c r="C51" s="2">
        <v>30</v>
      </c>
      <c r="D51" s="2" t="s">
        <v>16</v>
      </c>
      <c r="E51" s="2" t="s">
        <v>31</v>
      </c>
      <c r="F51" s="2" t="s">
        <v>156</v>
      </c>
      <c r="G51" s="2" t="s">
        <v>206</v>
      </c>
      <c r="H51" s="2" t="s">
        <v>157</v>
      </c>
      <c r="I51" s="2">
        <v>18647</v>
      </c>
      <c r="J51" t="str">
        <f t="shared" si="0"/>
        <v>Keep</v>
      </c>
    </row>
  </sheetData>
  <conditionalFormatting sqref="A1:XFD1048576">
    <cfRule type="expression" priority="4">
      <formula>I1&gt;=LARGE($I$2:$I$51,10)</formula>
    </cfRule>
    <cfRule type="expression" priority="5">
      <formula>I1&gt;=LARGE($I$2:$I$51,10)</formula>
    </cfRule>
  </conditionalFormatting>
  <conditionalFormatting sqref="L3">
    <cfRule type="expression" dxfId="15" priority="2">
      <formula>I2&gt;=LARGE($I$2:$I$51,10)</formula>
    </cfRule>
    <cfRule type="expression" dxfId="14" priority="3">
      <formula>I2&gt;=LARGE($I$2:$I$51,10)</formula>
    </cfRule>
  </conditionalFormatting>
  <conditionalFormatting sqref="I1:I1048576">
    <cfRule type="expression" dxfId="13" priority="1">
      <formula>I2&gt;=LARGE($I$2:$I$51,10)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61DA9-FBB8-4763-ABFE-006C19CEFD15}">
  <dimension ref="A1:K51"/>
  <sheetViews>
    <sheetView topLeftCell="A25" workbookViewId="0">
      <selection activeCell="L35" sqref="L35"/>
    </sheetView>
  </sheetViews>
  <sheetFormatPr defaultRowHeight="14.4" x14ac:dyDescent="0.3"/>
  <cols>
    <col min="2" max="2" width="12.88671875" customWidth="1"/>
    <col min="5" max="5" width="19.109375" customWidth="1"/>
    <col min="6" max="6" width="20.88671875" customWidth="1"/>
    <col min="8" max="8" width="20.6640625" customWidth="1"/>
    <col min="9" max="9" width="12.77734375" customWidth="1"/>
    <col min="11" max="11" width="27.33203125" customWidth="1"/>
    <col min="12" max="12" width="10.109375" customWidth="1"/>
    <col min="13" max="13" width="17.664062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t="s">
        <v>207</v>
      </c>
      <c r="K1" t="s">
        <v>208</v>
      </c>
    </row>
    <row r="2" spans="1:11" x14ac:dyDescent="0.3">
      <c r="A2" s="2">
        <v>1</v>
      </c>
      <c r="B2" s="2" t="s">
        <v>9</v>
      </c>
      <c r="C2" s="2">
        <v>32</v>
      </c>
      <c r="D2" s="2" t="s">
        <v>10</v>
      </c>
      <c r="E2" s="2" t="s">
        <v>11</v>
      </c>
      <c r="F2" s="2" t="s">
        <v>12</v>
      </c>
      <c r="G2" s="2" t="s">
        <v>13</v>
      </c>
      <c r="H2" s="2" t="s">
        <v>14</v>
      </c>
      <c r="I2" s="2">
        <v>4553</v>
      </c>
      <c r="J2" t="str">
        <f t="shared" ref="J2:J51" si="0">IF(AND(ISBLANK(B2), ISBLANK(F2)), "Delete", "Keep")</f>
        <v>Keep</v>
      </c>
      <c r="K2" t="str">
        <f t="shared" ref="K2:K33" si="1">IF(AND(B2&lt;&gt;"", F2=""), "support@unmessenger.com", F2)</f>
        <v>john.doe@gmail.com</v>
      </c>
    </row>
    <row r="3" spans="1:11" x14ac:dyDescent="0.3">
      <c r="A3" s="2">
        <v>2</v>
      </c>
      <c r="B3" s="2" t="s">
        <v>15</v>
      </c>
      <c r="C3" s="2">
        <v>28</v>
      </c>
      <c r="D3" s="2" t="s">
        <v>16</v>
      </c>
      <c r="E3" s="2" t="s">
        <v>17</v>
      </c>
      <c r="F3" s="2" t="s">
        <v>18</v>
      </c>
      <c r="G3" s="2" t="s">
        <v>158</v>
      </c>
      <c r="H3" s="2" t="s">
        <v>20</v>
      </c>
      <c r="I3" s="2">
        <v>31169</v>
      </c>
      <c r="J3" t="str">
        <f t="shared" si="0"/>
        <v>Keep</v>
      </c>
      <c r="K3" t="str">
        <f t="shared" si="1"/>
        <v>jane.smith@hotmail.com</v>
      </c>
    </row>
    <row r="4" spans="1:11" x14ac:dyDescent="0.3">
      <c r="A4" s="2">
        <v>3</v>
      </c>
      <c r="B4" s="2" t="s">
        <v>21</v>
      </c>
      <c r="C4" s="2">
        <v>27</v>
      </c>
      <c r="D4" s="2" t="s">
        <v>10</v>
      </c>
      <c r="E4" s="2" t="s">
        <v>22</v>
      </c>
      <c r="F4" s="2" t="s">
        <v>23</v>
      </c>
      <c r="G4" s="2" t="s">
        <v>159</v>
      </c>
      <c r="H4" s="2" t="s">
        <v>25</v>
      </c>
      <c r="I4" s="2">
        <v>11116</v>
      </c>
      <c r="J4" t="str">
        <f t="shared" si="0"/>
        <v>Keep</v>
      </c>
      <c r="K4" t="str">
        <f t="shared" si="1"/>
        <v>amit.patel@gmail.com</v>
      </c>
    </row>
    <row r="5" spans="1:11" x14ac:dyDescent="0.3">
      <c r="A5" s="2">
        <v>4</v>
      </c>
      <c r="B5" s="2" t="s">
        <v>26</v>
      </c>
      <c r="C5" s="2">
        <v>33</v>
      </c>
      <c r="D5" s="2" t="s">
        <v>16</v>
      </c>
      <c r="E5" s="2" t="s">
        <v>27</v>
      </c>
      <c r="F5" s="2" t="s">
        <v>28</v>
      </c>
      <c r="G5" s="2" t="s">
        <v>160</v>
      </c>
      <c r="H5" s="2" t="s">
        <v>30</v>
      </c>
      <c r="I5" s="2">
        <v>33457</v>
      </c>
      <c r="J5" t="str">
        <f t="shared" si="0"/>
        <v>Keep</v>
      </c>
      <c r="K5" t="str">
        <f t="shared" si="1"/>
        <v>priya.sharma@yahoo.com</v>
      </c>
    </row>
    <row r="6" spans="1:11" x14ac:dyDescent="0.3">
      <c r="A6" s="2">
        <v>5</v>
      </c>
      <c r="B6" s="2" t="str">
        <f>IF(B2&lt;&gt;"",B2,LEFT(F2,FIND("@",F2)-1))</f>
        <v>John Doe</v>
      </c>
      <c r="C6" s="2">
        <v>29</v>
      </c>
      <c r="D6" s="2" t="s">
        <v>16</v>
      </c>
      <c r="E6" s="2" t="s">
        <v>31</v>
      </c>
      <c r="F6" s="2" t="s">
        <v>32</v>
      </c>
      <c r="G6" s="2" t="s">
        <v>161</v>
      </c>
      <c r="H6" s="2"/>
      <c r="I6" s="2">
        <v>21918</v>
      </c>
      <c r="J6" t="str">
        <f t="shared" si="0"/>
        <v>Keep</v>
      </c>
      <c r="K6" t="str">
        <f t="shared" si="1"/>
        <v>jane.doe@gmail.com</v>
      </c>
    </row>
    <row r="7" spans="1:11" x14ac:dyDescent="0.3">
      <c r="A7" s="2">
        <v>6</v>
      </c>
      <c r="B7" s="2" t="s">
        <v>33</v>
      </c>
      <c r="C7" s="2">
        <v>34</v>
      </c>
      <c r="D7" s="2" t="s">
        <v>10</v>
      </c>
      <c r="E7" s="2" t="s">
        <v>34</v>
      </c>
      <c r="F7" s="2" t="s">
        <v>35</v>
      </c>
      <c r="G7" s="2" t="s">
        <v>162</v>
      </c>
      <c r="H7" s="2" t="s">
        <v>36</v>
      </c>
      <c r="I7" s="2">
        <v>33418</v>
      </c>
      <c r="J7" t="str">
        <f t="shared" si="0"/>
        <v>Keep</v>
      </c>
      <c r="K7" t="str">
        <f t="shared" si="1"/>
        <v>rakesh.kumar@yahoo.com</v>
      </c>
    </row>
    <row r="8" spans="1:11" x14ac:dyDescent="0.3">
      <c r="A8" s="2">
        <v>7</v>
      </c>
      <c r="B8" s="2" t="s">
        <v>37</v>
      </c>
      <c r="C8" s="2">
        <v>25</v>
      </c>
      <c r="D8" s="2" t="s">
        <v>16</v>
      </c>
      <c r="E8" s="2" t="s">
        <v>22</v>
      </c>
      <c r="F8" s="2"/>
      <c r="G8" s="2" t="s">
        <v>163</v>
      </c>
      <c r="H8" s="2" t="s">
        <v>39</v>
      </c>
      <c r="I8" s="2">
        <v>45828</v>
      </c>
      <c r="J8" t="str">
        <f t="shared" si="0"/>
        <v>Keep</v>
      </c>
      <c r="K8" t="str">
        <f t="shared" si="1"/>
        <v>support@unmessenger.com</v>
      </c>
    </row>
    <row r="9" spans="1:11" x14ac:dyDescent="0.3">
      <c r="A9" s="2">
        <v>8</v>
      </c>
      <c r="B9" s="2" t="s">
        <v>40</v>
      </c>
      <c r="C9" s="2">
        <v>31</v>
      </c>
      <c r="D9" s="2" t="s">
        <v>10</v>
      </c>
      <c r="E9" s="2" t="s">
        <v>27</v>
      </c>
      <c r="F9" s="2" t="s">
        <v>41</v>
      </c>
      <c r="G9" s="2" t="s">
        <v>164</v>
      </c>
      <c r="H9" s="2"/>
      <c r="I9" s="2">
        <v>45450</v>
      </c>
      <c r="J9" t="str">
        <f t="shared" si="0"/>
        <v>Keep</v>
      </c>
      <c r="K9" t="str">
        <f t="shared" si="1"/>
        <v>aman.verma@gmail.com</v>
      </c>
    </row>
    <row r="10" spans="1:11" x14ac:dyDescent="0.3">
      <c r="A10" s="2">
        <v>9</v>
      </c>
      <c r="B10" s="2" t="s">
        <v>42</v>
      </c>
      <c r="C10" s="2">
        <v>27</v>
      </c>
      <c r="D10" s="2" t="s">
        <v>16</v>
      </c>
      <c r="E10" s="2" t="s">
        <v>31</v>
      </c>
      <c r="F10" s="2" t="s">
        <v>43</v>
      </c>
      <c r="G10" s="2" t="s">
        <v>165</v>
      </c>
      <c r="H10" s="2" t="s">
        <v>44</v>
      </c>
      <c r="I10" s="2">
        <v>49938</v>
      </c>
      <c r="J10" t="str">
        <f t="shared" si="0"/>
        <v>Keep</v>
      </c>
      <c r="K10" t="str">
        <f t="shared" si="1"/>
        <v>neha.gupta@hotmail.com</v>
      </c>
    </row>
    <row r="11" spans="1:11" x14ac:dyDescent="0.3">
      <c r="A11" s="2">
        <v>10</v>
      </c>
      <c r="B11" s="2" t="str">
        <f>IF(B2&lt;&gt;"",B2,LEFT(F2,FIND("@",F2)-1))</f>
        <v>John Doe</v>
      </c>
      <c r="C11" s="2">
        <v>35</v>
      </c>
      <c r="D11" s="2" t="s">
        <v>10</v>
      </c>
      <c r="E11" s="2" t="s">
        <v>11</v>
      </c>
      <c r="F11" s="2" t="s">
        <v>45</v>
      </c>
      <c r="G11" s="2" t="s">
        <v>166</v>
      </c>
      <c r="H11" s="2" t="s">
        <v>46</v>
      </c>
      <c r="I11" s="2">
        <v>9818</v>
      </c>
      <c r="J11" t="str">
        <f t="shared" si="0"/>
        <v>Keep</v>
      </c>
      <c r="K11" t="str">
        <f t="shared" si="1"/>
        <v>naveen.sharma@gmail.com</v>
      </c>
    </row>
    <row r="12" spans="1:11" x14ac:dyDescent="0.3">
      <c r="A12" s="2">
        <v>11</v>
      </c>
      <c r="B12" s="2" t="s">
        <v>47</v>
      </c>
      <c r="C12" s="2">
        <f>IF(ISBLANK(C2), AVERAGE($C$2:$C$51), C2)</f>
        <v>32</v>
      </c>
      <c r="D12" s="2" t="s">
        <v>16</v>
      </c>
      <c r="E12" s="2" t="s">
        <v>17</v>
      </c>
      <c r="F12" s="2" t="s">
        <v>48</v>
      </c>
      <c r="G12" s="2" t="s">
        <v>167</v>
      </c>
      <c r="H12" s="2" t="s">
        <v>49</v>
      </c>
      <c r="I12" s="2">
        <v>41836</v>
      </c>
      <c r="J12" t="str">
        <f t="shared" si="0"/>
        <v>Keep</v>
      </c>
      <c r="K12" t="str">
        <f t="shared" si="1"/>
        <v>vinita.kapoor@yahoo.com</v>
      </c>
    </row>
    <row r="13" spans="1:11" x14ac:dyDescent="0.3">
      <c r="A13" s="2">
        <v>12</v>
      </c>
      <c r="B13" s="2" t="s">
        <v>50</v>
      </c>
      <c r="C13" s="2">
        <f>IF(ISBLANK(C2), AVERAGE($C$2:$C$51), C2)</f>
        <v>32</v>
      </c>
      <c r="D13" s="2" t="s">
        <v>10</v>
      </c>
      <c r="E13" s="2" t="s">
        <v>17</v>
      </c>
      <c r="F13" s="2" t="s">
        <v>51</v>
      </c>
      <c r="G13" s="2" t="s">
        <v>168</v>
      </c>
      <c r="H13" s="2" t="s">
        <v>52</v>
      </c>
      <c r="I13" s="2">
        <v>11901</v>
      </c>
      <c r="J13" t="str">
        <f t="shared" si="0"/>
        <v>Keep</v>
      </c>
      <c r="K13" t="str">
        <f t="shared" si="1"/>
        <v>rajeev.kumar@hotmail.com</v>
      </c>
    </row>
    <row r="14" spans="1:11" x14ac:dyDescent="0.3">
      <c r="A14" s="2">
        <v>13</v>
      </c>
      <c r="B14" s="2" t="str">
        <f>IF(B2&lt;&gt;"",B2,LEFT(F2,FIND("@",F2)-1))</f>
        <v>John Doe</v>
      </c>
      <c r="C14" s="2">
        <v>26</v>
      </c>
      <c r="D14" s="2" t="s">
        <v>10</v>
      </c>
      <c r="E14" s="2" t="s">
        <v>53</v>
      </c>
      <c r="F14" s="2"/>
      <c r="G14" s="2" t="s">
        <v>169</v>
      </c>
      <c r="H14" s="2" t="s">
        <v>54</v>
      </c>
      <c r="I14" s="2">
        <v>46236</v>
      </c>
      <c r="J14" t="str">
        <f t="shared" si="0"/>
        <v>Keep</v>
      </c>
      <c r="K14" t="str">
        <f t="shared" si="1"/>
        <v>support@unmessenger.com</v>
      </c>
    </row>
    <row r="15" spans="1:11" x14ac:dyDescent="0.3">
      <c r="A15" s="2">
        <v>14</v>
      </c>
      <c r="B15" s="2"/>
      <c r="C15" s="2">
        <v>28</v>
      </c>
      <c r="D15" s="2" t="s">
        <v>16</v>
      </c>
      <c r="E15" s="2" t="s">
        <v>56</v>
      </c>
      <c r="F15" s="2" t="s">
        <v>57</v>
      </c>
      <c r="G15" s="2" t="s">
        <v>170</v>
      </c>
      <c r="H15" s="2" t="s">
        <v>58</v>
      </c>
      <c r="I15" s="2">
        <v>21978</v>
      </c>
      <c r="J15" t="str">
        <f t="shared" si="0"/>
        <v>Keep</v>
      </c>
      <c r="K15" t="str">
        <f t="shared" si="1"/>
        <v>swati.singh@gmail.com</v>
      </c>
    </row>
    <row r="16" spans="1:11" x14ac:dyDescent="0.3">
      <c r="A16" s="2">
        <v>15</v>
      </c>
      <c r="B16" s="2"/>
      <c r="C16" s="2">
        <v>30</v>
      </c>
      <c r="D16" s="2" t="s">
        <v>16</v>
      </c>
      <c r="E16" s="2" t="s">
        <v>59</v>
      </c>
      <c r="F16" s="2" t="s">
        <v>60</v>
      </c>
      <c r="G16" s="2" t="s">
        <v>171</v>
      </c>
      <c r="H16" s="2"/>
      <c r="I16" s="2">
        <v>49400</v>
      </c>
      <c r="J16" t="str">
        <f t="shared" si="0"/>
        <v>Keep</v>
      </c>
      <c r="K16" t="str">
        <f t="shared" si="1"/>
        <v>kavita.sharma@yahoo.com</v>
      </c>
    </row>
    <row r="17" spans="1:11" x14ac:dyDescent="0.3">
      <c r="A17" s="2">
        <v>16</v>
      </c>
      <c r="B17" s="2" t="s">
        <v>61</v>
      </c>
      <c r="C17" s="2">
        <v>32</v>
      </c>
      <c r="D17" s="2" t="s">
        <v>10</v>
      </c>
      <c r="E17" s="2" t="s">
        <v>62</v>
      </c>
      <c r="F17" s="2" t="s">
        <v>63</v>
      </c>
      <c r="G17" s="2" t="s">
        <v>172</v>
      </c>
      <c r="H17" s="2" t="s">
        <v>64</v>
      </c>
      <c r="I17" s="2">
        <v>28476</v>
      </c>
      <c r="J17" t="str">
        <f t="shared" si="0"/>
        <v>Keep</v>
      </c>
      <c r="K17" t="str">
        <f t="shared" si="1"/>
        <v>manish.patel@hotmail.com</v>
      </c>
    </row>
    <row r="18" spans="1:11" x14ac:dyDescent="0.3">
      <c r="A18" s="2">
        <v>17</v>
      </c>
      <c r="B18" s="2" t="s">
        <v>65</v>
      </c>
      <c r="C18" s="2">
        <v>26</v>
      </c>
      <c r="D18" s="2" t="s">
        <v>16</v>
      </c>
      <c r="E18" s="2" t="s">
        <v>66</v>
      </c>
      <c r="F18" s="2" t="s">
        <v>67</v>
      </c>
      <c r="G18" s="2" t="s">
        <v>173</v>
      </c>
      <c r="H18" s="2"/>
      <c r="I18" s="2">
        <v>40088</v>
      </c>
      <c r="J18" t="str">
        <f t="shared" si="0"/>
        <v>Keep</v>
      </c>
      <c r="K18" t="str">
        <f t="shared" si="1"/>
        <v>priyanka.jain@yahoo.com</v>
      </c>
    </row>
    <row r="19" spans="1:11" x14ac:dyDescent="0.3">
      <c r="A19" s="2">
        <v>18</v>
      </c>
      <c r="B19" s="2" t="s">
        <v>68</v>
      </c>
      <c r="C19" s="2">
        <v>28</v>
      </c>
      <c r="D19" s="2" t="s">
        <v>10</v>
      </c>
      <c r="E19" s="2" t="s">
        <v>34</v>
      </c>
      <c r="F19" s="2" t="s">
        <v>69</v>
      </c>
      <c r="G19" s="2" t="s">
        <v>174</v>
      </c>
      <c r="H19" s="2" t="s">
        <v>70</v>
      </c>
      <c r="I19" s="2">
        <v>2949</v>
      </c>
      <c r="J19" t="str">
        <f t="shared" si="0"/>
        <v>Keep</v>
      </c>
      <c r="K19" t="str">
        <f t="shared" si="1"/>
        <v>rohit.sharma@gmail.com</v>
      </c>
    </row>
    <row r="20" spans="1:11" x14ac:dyDescent="0.3">
      <c r="A20" s="2">
        <v>19</v>
      </c>
      <c r="B20" s="2" t="s">
        <v>71</v>
      </c>
      <c r="C20" s="2">
        <v>30</v>
      </c>
      <c r="D20" s="2" t="s">
        <v>16</v>
      </c>
      <c r="E20" s="2" t="s">
        <v>34</v>
      </c>
      <c r="F20" s="2" t="s">
        <v>72</v>
      </c>
      <c r="G20" s="2" t="s">
        <v>175</v>
      </c>
      <c r="H20" s="2" t="s">
        <v>73</v>
      </c>
      <c r="I20" s="2">
        <v>3337</v>
      </c>
      <c r="J20" t="str">
        <f t="shared" si="0"/>
        <v>Keep</v>
      </c>
      <c r="K20" t="str">
        <f t="shared" si="1"/>
        <v>deepika.singh@yahoo.com</v>
      </c>
    </row>
    <row r="21" spans="1:11" x14ac:dyDescent="0.3">
      <c r="A21" s="2">
        <v>20</v>
      </c>
      <c r="B21" s="2"/>
      <c r="C21" s="2">
        <v>32</v>
      </c>
      <c r="D21" s="2" t="s">
        <v>10</v>
      </c>
      <c r="E21" s="2" t="s">
        <v>59</v>
      </c>
      <c r="F21" s="2" t="s">
        <v>74</v>
      </c>
      <c r="G21" s="2" t="s">
        <v>176</v>
      </c>
      <c r="H21" s="2"/>
      <c r="I21" s="2">
        <v>2857</v>
      </c>
      <c r="J21" t="str">
        <f t="shared" si="0"/>
        <v>Keep</v>
      </c>
      <c r="K21" t="str">
        <f t="shared" si="1"/>
        <v>vikas.joshi@gmail.com</v>
      </c>
    </row>
    <row r="22" spans="1:11" x14ac:dyDescent="0.3">
      <c r="A22" s="2">
        <v>21</v>
      </c>
      <c r="B22" s="2" t="s">
        <v>75</v>
      </c>
      <c r="C22" s="2">
        <v>26</v>
      </c>
      <c r="D22" s="2" t="s">
        <v>16</v>
      </c>
      <c r="E22" s="2" t="s">
        <v>62</v>
      </c>
      <c r="F22" s="2" t="s">
        <v>76</v>
      </c>
      <c r="G22" s="2" t="s">
        <v>177</v>
      </c>
      <c r="H22" s="2" t="s">
        <v>77</v>
      </c>
      <c r="I22" s="2">
        <v>35969</v>
      </c>
      <c r="J22" t="str">
        <f t="shared" si="0"/>
        <v>Keep</v>
      </c>
      <c r="K22" t="str">
        <f t="shared" si="1"/>
        <v>nisha.verma@hotmail.com</v>
      </c>
    </row>
    <row r="23" spans="1:11" x14ac:dyDescent="0.3">
      <c r="A23" s="2">
        <v>22</v>
      </c>
      <c r="B23" s="2" t="s">
        <v>78</v>
      </c>
      <c r="C23" s="2">
        <v>33</v>
      </c>
      <c r="D23" s="2" t="s">
        <v>10</v>
      </c>
      <c r="E23" s="2" t="s">
        <v>66</v>
      </c>
      <c r="F23" s="2" t="s">
        <v>79</v>
      </c>
      <c r="G23" s="2" t="s">
        <v>178</v>
      </c>
      <c r="H23" s="2" t="s">
        <v>80</v>
      </c>
      <c r="I23" s="2">
        <v>49681</v>
      </c>
      <c r="J23" t="str">
        <f t="shared" si="0"/>
        <v>Keep</v>
      </c>
      <c r="K23" t="str">
        <f t="shared" si="1"/>
        <v>manoj.kumar@yahoo.com</v>
      </c>
    </row>
    <row r="24" spans="1:11" x14ac:dyDescent="0.3">
      <c r="A24" s="2">
        <v>23</v>
      </c>
      <c r="B24" s="2"/>
      <c r="C24" s="2">
        <v>27</v>
      </c>
      <c r="D24" s="2" t="s">
        <v>16</v>
      </c>
      <c r="E24" s="2" t="s">
        <v>34</v>
      </c>
      <c r="F24" s="2"/>
      <c r="G24" s="2" t="s">
        <v>179</v>
      </c>
      <c r="H24" s="2" t="s">
        <v>81</v>
      </c>
      <c r="I24" s="2">
        <v>45102</v>
      </c>
      <c r="J24" t="str">
        <f t="shared" si="0"/>
        <v>Delete</v>
      </c>
      <c r="K24">
        <f t="shared" si="1"/>
        <v>0</v>
      </c>
    </row>
    <row r="25" spans="1:11" x14ac:dyDescent="0.3">
      <c r="A25" s="2">
        <v>24</v>
      </c>
      <c r="B25" s="2" t="s">
        <v>82</v>
      </c>
      <c r="C25" s="2">
        <v>29</v>
      </c>
      <c r="D25" s="2" t="s">
        <v>10</v>
      </c>
      <c r="E25" s="2" t="s">
        <v>11</v>
      </c>
      <c r="F25" s="2" t="s">
        <v>83</v>
      </c>
      <c r="G25" s="2" t="s">
        <v>180</v>
      </c>
      <c r="H25" s="2"/>
      <c r="I25" s="2">
        <v>15853</v>
      </c>
      <c r="J25" t="str">
        <f t="shared" si="0"/>
        <v>Keep</v>
      </c>
      <c r="K25" t="str">
        <f t="shared" si="1"/>
        <v>sanjay.gupta@gmail.com</v>
      </c>
    </row>
    <row r="26" spans="1:11" x14ac:dyDescent="0.3">
      <c r="A26" s="2">
        <v>25</v>
      </c>
      <c r="B26" s="2" t="s">
        <v>85</v>
      </c>
      <c r="C26" s="2"/>
      <c r="D26" s="2" t="s">
        <v>16</v>
      </c>
      <c r="E26" s="2" t="s">
        <v>17</v>
      </c>
      <c r="F26" s="2" t="s">
        <v>86</v>
      </c>
      <c r="G26" s="2" t="s">
        <v>181</v>
      </c>
      <c r="H26" s="2" t="s">
        <v>87</v>
      </c>
      <c r="I26" s="2">
        <v>6926</v>
      </c>
      <c r="J26" t="str">
        <f t="shared" si="0"/>
        <v>Keep</v>
      </c>
      <c r="K26" t="str">
        <f t="shared" si="1"/>
        <v>anjali.sharma@yahoo.com</v>
      </c>
    </row>
    <row r="27" spans="1:11" x14ac:dyDescent="0.3">
      <c r="A27" s="2">
        <v>26</v>
      </c>
      <c r="B27" s="2" t="s">
        <v>88</v>
      </c>
      <c r="C27" s="2">
        <v>31</v>
      </c>
      <c r="D27" s="2" t="s">
        <v>10</v>
      </c>
      <c r="E27" s="2" t="s">
        <v>59</v>
      </c>
      <c r="F27" s="2" t="s">
        <v>89</v>
      </c>
      <c r="G27" s="2" t="s">
        <v>182</v>
      </c>
      <c r="H27" s="2" t="s">
        <v>90</v>
      </c>
      <c r="I27" s="2">
        <v>45678</v>
      </c>
      <c r="J27" t="str">
        <f t="shared" si="0"/>
        <v>Keep</v>
      </c>
      <c r="K27" t="str">
        <f t="shared" si="1"/>
        <v>akash.patel@hotmail.com</v>
      </c>
    </row>
    <row r="28" spans="1:11" x14ac:dyDescent="0.3">
      <c r="A28" s="2">
        <v>27</v>
      </c>
      <c r="B28" s="2" t="s">
        <v>91</v>
      </c>
      <c r="C28" s="2">
        <v>28</v>
      </c>
      <c r="D28" s="2" t="s">
        <v>16</v>
      </c>
      <c r="E28" s="2" t="s">
        <v>62</v>
      </c>
      <c r="F28" s="2" t="s">
        <v>92</v>
      </c>
      <c r="G28" s="2" t="s">
        <v>183</v>
      </c>
      <c r="H28" s="2" t="s">
        <v>93</v>
      </c>
      <c r="I28" s="2">
        <v>8022</v>
      </c>
      <c r="J28" t="str">
        <f t="shared" si="0"/>
        <v>Keep</v>
      </c>
      <c r="K28" t="str">
        <f t="shared" si="1"/>
        <v>preeti.singh@gmail.com</v>
      </c>
    </row>
    <row r="29" spans="1:11" x14ac:dyDescent="0.3">
      <c r="A29" s="2">
        <v>28</v>
      </c>
      <c r="B29" s="2" t="s">
        <v>94</v>
      </c>
      <c r="C29" s="2">
        <v>34</v>
      </c>
      <c r="D29" s="2" t="s">
        <v>10</v>
      </c>
      <c r="E29" s="2" t="s">
        <v>66</v>
      </c>
      <c r="F29" s="2" t="s">
        <v>95</v>
      </c>
      <c r="G29" s="2" t="s">
        <v>184</v>
      </c>
      <c r="H29" s="2" t="s">
        <v>96</v>
      </c>
      <c r="I29" s="2">
        <v>3484</v>
      </c>
      <c r="J29" t="str">
        <f t="shared" si="0"/>
        <v>Keep</v>
      </c>
      <c r="K29" t="str">
        <f t="shared" si="1"/>
        <v>ravi.kumar@gmail.com</v>
      </c>
    </row>
    <row r="30" spans="1:11" x14ac:dyDescent="0.3">
      <c r="A30" s="2">
        <v>29</v>
      </c>
      <c r="B30" s="2" t="s">
        <v>97</v>
      </c>
      <c r="C30" s="2">
        <v>26</v>
      </c>
      <c r="D30" s="2" t="s">
        <v>16</v>
      </c>
      <c r="E30" s="2" t="s">
        <v>22</v>
      </c>
      <c r="F30" s="2" t="s">
        <v>98</v>
      </c>
      <c r="G30" s="2" t="s">
        <v>185</v>
      </c>
      <c r="H30" s="2" t="s">
        <v>99</v>
      </c>
      <c r="I30" s="2">
        <v>11342</v>
      </c>
      <c r="J30" t="str">
        <f t="shared" si="0"/>
        <v>Keep</v>
      </c>
      <c r="K30" t="str">
        <f t="shared" si="1"/>
        <v>swati.mishra@yahoo.com</v>
      </c>
    </row>
    <row r="31" spans="1:11" x14ac:dyDescent="0.3">
      <c r="A31" s="2">
        <v>30</v>
      </c>
      <c r="B31" s="2"/>
      <c r="C31" s="2">
        <v>29</v>
      </c>
      <c r="D31" s="2" t="s">
        <v>10</v>
      </c>
      <c r="E31" s="2" t="s">
        <v>27</v>
      </c>
      <c r="F31" s="2" t="s">
        <v>100</v>
      </c>
      <c r="G31" s="2" t="s">
        <v>186</v>
      </c>
      <c r="H31" s="2" t="s">
        <v>101</v>
      </c>
      <c r="I31" s="2">
        <v>40940</v>
      </c>
      <c r="J31" t="str">
        <f t="shared" si="0"/>
        <v>Keep</v>
      </c>
      <c r="K31" t="str">
        <f t="shared" si="1"/>
        <v>ankit.singh@hotmail.com</v>
      </c>
    </row>
    <row r="32" spans="1:11" x14ac:dyDescent="0.3">
      <c r="A32" s="2">
        <v>31</v>
      </c>
      <c r="B32" s="2" t="s">
        <v>42</v>
      </c>
      <c r="C32" s="2">
        <v>27</v>
      </c>
      <c r="D32" s="2" t="s">
        <v>16</v>
      </c>
      <c r="E32" s="2" t="s">
        <v>31</v>
      </c>
      <c r="F32" s="2" t="s">
        <v>102</v>
      </c>
      <c r="G32" s="2" t="s">
        <v>187</v>
      </c>
      <c r="H32" s="2"/>
      <c r="I32" s="2">
        <v>41841</v>
      </c>
      <c r="J32" t="str">
        <f t="shared" si="0"/>
        <v>Keep</v>
      </c>
      <c r="K32" t="str">
        <f t="shared" si="1"/>
        <v>neha.gupta@gmail.com</v>
      </c>
    </row>
    <row r="33" spans="1:11" x14ac:dyDescent="0.3">
      <c r="A33" s="2">
        <v>32</v>
      </c>
      <c r="B33" s="2" t="s">
        <v>103</v>
      </c>
      <c r="C33" s="2">
        <v>32</v>
      </c>
      <c r="D33" s="2" t="s">
        <v>10</v>
      </c>
      <c r="E33" s="2" t="s">
        <v>59</v>
      </c>
      <c r="F33" s="2" t="s">
        <v>104</v>
      </c>
      <c r="G33" s="2" t="s">
        <v>188</v>
      </c>
      <c r="H33" s="2" t="s">
        <v>105</v>
      </c>
      <c r="I33" s="2">
        <v>39835</v>
      </c>
      <c r="J33" t="str">
        <f t="shared" si="0"/>
        <v>Keep</v>
      </c>
      <c r="K33" t="str">
        <f t="shared" si="1"/>
        <v>rajeev.sharma@yahoo.com</v>
      </c>
    </row>
    <row r="34" spans="1:11" x14ac:dyDescent="0.3">
      <c r="A34" s="2">
        <v>33</v>
      </c>
      <c r="B34" s="2"/>
      <c r="C34" s="2">
        <v>33</v>
      </c>
      <c r="D34" s="2" t="s">
        <v>16</v>
      </c>
      <c r="E34" s="2" t="s">
        <v>62</v>
      </c>
      <c r="F34" s="2" t="s">
        <v>106</v>
      </c>
      <c r="G34" s="2" t="s">
        <v>189</v>
      </c>
      <c r="H34" s="2" t="s">
        <v>107</v>
      </c>
      <c r="I34" s="2">
        <v>9577</v>
      </c>
      <c r="J34" t="str">
        <f t="shared" si="0"/>
        <v>Keep</v>
      </c>
      <c r="K34" t="str">
        <f t="shared" ref="K34:K51" si="2">IF(AND(B34&lt;&gt;"", F34=""), "support@unmessenger.com", F34)</f>
        <v>sarika.patel@hotmail.com</v>
      </c>
    </row>
    <row r="35" spans="1:11" x14ac:dyDescent="0.3">
      <c r="A35" s="2">
        <v>34</v>
      </c>
      <c r="B35" s="2" t="s">
        <v>108</v>
      </c>
      <c r="C35" s="2">
        <v>30</v>
      </c>
      <c r="D35" s="2" t="s">
        <v>10</v>
      </c>
      <c r="E35" s="2" t="s">
        <v>66</v>
      </c>
      <c r="F35" s="2" t="s">
        <v>109</v>
      </c>
      <c r="G35" s="2" t="s">
        <v>190</v>
      </c>
      <c r="H35" s="2" t="s">
        <v>110</v>
      </c>
      <c r="I35" s="2">
        <v>29480</v>
      </c>
      <c r="J35" t="str">
        <f t="shared" si="0"/>
        <v>Keep</v>
      </c>
      <c r="K35" t="str">
        <f t="shared" si="2"/>
        <v>vinay.singh@gmail.com</v>
      </c>
    </row>
    <row r="36" spans="1:11" x14ac:dyDescent="0.3">
      <c r="A36" s="2">
        <v>35</v>
      </c>
      <c r="B36" s="2" t="s">
        <v>111</v>
      </c>
      <c r="C36" s="2"/>
      <c r="D36" s="2" t="s">
        <v>16</v>
      </c>
      <c r="E36" s="2" t="s">
        <v>22</v>
      </c>
      <c r="F36" s="2" t="s">
        <v>112</v>
      </c>
      <c r="G36" s="2" t="s">
        <v>191</v>
      </c>
      <c r="H36" s="2" t="s">
        <v>113</v>
      </c>
      <c r="I36" s="2">
        <v>14254</v>
      </c>
      <c r="J36" t="str">
        <f t="shared" si="0"/>
        <v>Keep</v>
      </c>
      <c r="K36" t="str">
        <f t="shared" si="2"/>
        <v>priya.gupta@yahoo.com</v>
      </c>
    </row>
    <row r="37" spans="1:11" x14ac:dyDescent="0.3">
      <c r="A37" s="2">
        <v>36</v>
      </c>
      <c r="B37" s="2" t="s">
        <v>114</v>
      </c>
      <c r="C37" s="2">
        <v>29</v>
      </c>
      <c r="D37" s="2" t="s">
        <v>10</v>
      </c>
      <c r="E37" s="2" t="s">
        <v>27</v>
      </c>
      <c r="F37" s="2" t="s">
        <v>115</v>
      </c>
      <c r="G37" s="2" t="s">
        <v>192</v>
      </c>
      <c r="H37" s="2" t="s">
        <v>116</v>
      </c>
      <c r="I37" s="2">
        <v>37358</v>
      </c>
      <c r="J37" t="str">
        <f t="shared" si="0"/>
        <v>Keep</v>
      </c>
      <c r="K37" t="str">
        <f t="shared" si="2"/>
        <v>sushant.patel@hotmail.com</v>
      </c>
    </row>
    <row r="38" spans="1:11" x14ac:dyDescent="0.3">
      <c r="A38" s="2">
        <v>37</v>
      </c>
      <c r="B38" s="2"/>
      <c r="C38" s="2">
        <v>31</v>
      </c>
      <c r="D38" s="2" t="s">
        <v>16</v>
      </c>
      <c r="E38" s="2" t="s">
        <v>31</v>
      </c>
      <c r="F38" s="2" t="s">
        <v>117</v>
      </c>
      <c r="G38" s="2" t="s">
        <v>193</v>
      </c>
      <c r="H38" s="2" t="s">
        <v>118</v>
      </c>
      <c r="I38" s="2">
        <v>48367</v>
      </c>
      <c r="J38" t="str">
        <f t="shared" si="0"/>
        <v>Keep</v>
      </c>
      <c r="K38" t="str">
        <f t="shared" si="2"/>
        <v>payal.sharma@gmail.com</v>
      </c>
    </row>
    <row r="39" spans="1:11" x14ac:dyDescent="0.3">
      <c r="A39" s="2">
        <v>38</v>
      </c>
      <c r="B39" s="2" t="s">
        <v>119</v>
      </c>
      <c r="C39" s="2">
        <v>28</v>
      </c>
      <c r="D39" s="2" t="s">
        <v>10</v>
      </c>
      <c r="E39" s="2" t="s">
        <v>120</v>
      </c>
      <c r="F39" s="2" t="s">
        <v>121</v>
      </c>
      <c r="G39" s="2" t="s">
        <v>194</v>
      </c>
      <c r="H39" s="2" t="s">
        <v>122</v>
      </c>
      <c r="I39" s="2">
        <v>37473</v>
      </c>
      <c r="J39" t="str">
        <f t="shared" si="0"/>
        <v>Keep</v>
      </c>
      <c r="K39" t="str">
        <f t="shared" si="2"/>
        <v>mohit.verma@yahoo.com</v>
      </c>
    </row>
    <row r="40" spans="1:11" x14ac:dyDescent="0.3">
      <c r="A40" s="2">
        <v>39</v>
      </c>
      <c r="B40" s="2" t="s">
        <v>123</v>
      </c>
      <c r="C40" s="2">
        <v>33</v>
      </c>
      <c r="D40" s="2" t="s">
        <v>16</v>
      </c>
      <c r="E40" s="2" t="s">
        <v>124</v>
      </c>
      <c r="F40" s="2" t="s">
        <v>125</v>
      </c>
      <c r="G40" s="2" t="s">
        <v>195</v>
      </c>
      <c r="H40" s="2" t="s">
        <v>126</v>
      </c>
      <c r="I40" s="2">
        <v>30628</v>
      </c>
      <c r="J40" t="str">
        <f t="shared" si="0"/>
        <v>Keep</v>
      </c>
      <c r="K40" t="str">
        <f t="shared" si="2"/>
        <v>kavita.singh@hotmail.com</v>
      </c>
    </row>
    <row r="41" spans="1:11" x14ac:dyDescent="0.3">
      <c r="A41" s="2">
        <v>40</v>
      </c>
      <c r="B41" s="2" t="s">
        <v>127</v>
      </c>
      <c r="C41" s="2">
        <v>30</v>
      </c>
      <c r="D41" s="2" t="s">
        <v>10</v>
      </c>
      <c r="E41" s="2" t="s">
        <v>128</v>
      </c>
      <c r="F41" s="2" t="s">
        <v>129</v>
      </c>
      <c r="G41" s="2" t="s">
        <v>196</v>
      </c>
      <c r="H41" s="2" t="s">
        <v>130</v>
      </c>
      <c r="I41" s="2">
        <v>22018</v>
      </c>
      <c r="J41" t="str">
        <f t="shared" si="0"/>
        <v>Keep</v>
      </c>
      <c r="K41" t="str">
        <f t="shared" si="2"/>
        <v>ankit.patel@gmail.com</v>
      </c>
    </row>
    <row r="42" spans="1:11" x14ac:dyDescent="0.3">
      <c r="A42" s="2">
        <v>41</v>
      </c>
      <c r="B42" s="2" t="s">
        <v>131</v>
      </c>
      <c r="C42" s="2">
        <v>27</v>
      </c>
      <c r="D42" s="2" t="s">
        <v>16</v>
      </c>
      <c r="E42" s="2" t="s">
        <v>34</v>
      </c>
      <c r="F42" s="2" t="s">
        <v>132</v>
      </c>
      <c r="G42" s="2" t="s">
        <v>197</v>
      </c>
      <c r="H42" s="2" t="s">
        <v>133</v>
      </c>
      <c r="I42" s="2">
        <v>35747</v>
      </c>
      <c r="J42" t="str">
        <f t="shared" si="0"/>
        <v>Keep</v>
      </c>
      <c r="K42" t="str">
        <f t="shared" si="2"/>
        <v>pooja.mishra@yahoo.com</v>
      </c>
    </row>
    <row r="43" spans="1:11" x14ac:dyDescent="0.3">
      <c r="A43" s="2">
        <v>42</v>
      </c>
      <c r="B43" s="2" t="s">
        <v>134</v>
      </c>
      <c r="C43" s="2">
        <v>29</v>
      </c>
      <c r="D43" s="2" t="s">
        <v>10</v>
      </c>
      <c r="E43" s="2" t="s">
        <v>31</v>
      </c>
      <c r="F43" s="2" t="s">
        <v>135</v>
      </c>
      <c r="G43" s="2" t="s">
        <v>198</v>
      </c>
      <c r="H43" s="2" t="s">
        <v>136</v>
      </c>
      <c r="I43" s="2">
        <v>32258</v>
      </c>
      <c r="J43" t="str">
        <f t="shared" si="0"/>
        <v>Keep</v>
      </c>
      <c r="K43" t="str">
        <f t="shared" si="2"/>
        <v>mohan.kumar@gmail.com</v>
      </c>
    </row>
    <row r="44" spans="1:11" x14ac:dyDescent="0.3">
      <c r="A44" s="2">
        <v>43</v>
      </c>
      <c r="B44" s="2" t="s">
        <v>137</v>
      </c>
      <c r="C44" s="2">
        <v>26</v>
      </c>
      <c r="D44" s="2" t="s">
        <v>16</v>
      </c>
      <c r="E44" s="2" t="s">
        <v>59</v>
      </c>
      <c r="F44" s="2" t="s">
        <v>138</v>
      </c>
      <c r="G44" s="2" t="s">
        <v>199</v>
      </c>
      <c r="H44" s="2" t="s">
        <v>139</v>
      </c>
      <c r="I44" s="2">
        <v>31047</v>
      </c>
      <c r="J44" t="str">
        <f t="shared" si="0"/>
        <v>Keep</v>
      </c>
      <c r="K44" t="str">
        <f t="shared" si="2"/>
        <v>anjali.gupta@hotmail.com</v>
      </c>
    </row>
    <row r="45" spans="1:11" x14ac:dyDescent="0.3">
      <c r="A45" s="2">
        <v>44</v>
      </c>
      <c r="B45" s="2"/>
      <c r="C45" s="2">
        <v>28</v>
      </c>
      <c r="D45" s="2" t="s">
        <v>10</v>
      </c>
      <c r="E45" s="2" t="s">
        <v>62</v>
      </c>
      <c r="F45" s="2" t="s">
        <v>140</v>
      </c>
      <c r="G45" s="2" t="s">
        <v>200</v>
      </c>
      <c r="H45" s="2" t="s">
        <v>141</v>
      </c>
      <c r="I45" s="2">
        <v>31064</v>
      </c>
      <c r="J45" t="str">
        <f t="shared" si="0"/>
        <v>Keep</v>
      </c>
      <c r="K45" t="str">
        <f t="shared" si="2"/>
        <v>mukesh.sharma@yahoo.com</v>
      </c>
    </row>
    <row r="46" spans="1:11" x14ac:dyDescent="0.3">
      <c r="A46" s="2">
        <v>45</v>
      </c>
      <c r="B46" s="2" t="s">
        <v>142</v>
      </c>
      <c r="C46" s="2">
        <v>31</v>
      </c>
      <c r="D46" s="2" t="s">
        <v>10</v>
      </c>
      <c r="E46" s="2" t="s">
        <v>66</v>
      </c>
      <c r="F46" s="2" t="s">
        <v>143</v>
      </c>
      <c r="G46" s="2" t="s">
        <v>201</v>
      </c>
      <c r="H46" s="2"/>
      <c r="I46" s="2">
        <v>3108</v>
      </c>
      <c r="J46" t="str">
        <f t="shared" si="0"/>
        <v>Keep</v>
      </c>
      <c r="K46" t="str">
        <f t="shared" si="2"/>
        <v>arjun.singh@gmail.com</v>
      </c>
    </row>
    <row r="47" spans="1:11" x14ac:dyDescent="0.3">
      <c r="A47" s="2">
        <v>46</v>
      </c>
      <c r="B47" s="2" t="s">
        <v>144</v>
      </c>
      <c r="C47" s="2">
        <v>27</v>
      </c>
      <c r="D47" s="2" t="s">
        <v>16</v>
      </c>
      <c r="E47" s="2" t="s">
        <v>120</v>
      </c>
      <c r="F47" s="2" t="s">
        <v>145</v>
      </c>
      <c r="G47" s="2" t="s">
        <v>202</v>
      </c>
      <c r="H47" s="2" t="s">
        <v>146</v>
      </c>
      <c r="I47" s="2">
        <v>20205</v>
      </c>
      <c r="J47" t="str">
        <f t="shared" si="0"/>
        <v>Keep</v>
      </c>
      <c r="K47" t="str">
        <f t="shared" si="2"/>
        <v>divya.patel@yahoo.com</v>
      </c>
    </row>
    <row r="48" spans="1:11" x14ac:dyDescent="0.3">
      <c r="A48" s="2">
        <v>47</v>
      </c>
      <c r="B48" s="2"/>
      <c r="C48" s="2">
        <v>29</v>
      </c>
      <c r="D48" s="2" t="s">
        <v>10</v>
      </c>
      <c r="E48" s="2" t="s">
        <v>124</v>
      </c>
      <c r="F48" s="2" t="s">
        <v>147</v>
      </c>
      <c r="G48" s="2" t="s">
        <v>203</v>
      </c>
      <c r="H48" s="2" t="s">
        <v>148</v>
      </c>
      <c r="I48" s="2">
        <v>8746</v>
      </c>
      <c r="J48" t="str">
        <f t="shared" si="0"/>
        <v>Keep</v>
      </c>
      <c r="K48" t="str">
        <f t="shared" si="2"/>
        <v>gaurav.kumar@gmail.com</v>
      </c>
    </row>
    <row r="49" spans="1:11" x14ac:dyDescent="0.3">
      <c r="A49" s="2">
        <v>48</v>
      </c>
      <c r="B49" s="2" t="s">
        <v>149</v>
      </c>
      <c r="C49" s="2">
        <v>32</v>
      </c>
      <c r="D49" s="2" t="s">
        <v>16</v>
      </c>
      <c r="E49" s="2" t="s">
        <v>22</v>
      </c>
      <c r="F49" s="2" t="s">
        <v>150</v>
      </c>
      <c r="G49" s="2" t="s">
        <v>204</v>
      </c>
      <c r="H49" s="2" t="s">
        <v>151</v>
      </c>
      <c r="I49" s="2">
        <v>15531</v>
      </c>
      <c r="J49" t="str">
        <f t="shared" si="0"/>
        <v>Keep</v>
      </c>
      <c r="K49" t="str">
        <f t="shared" si="2"/>
        <v>aditi.shah@hotmail.com</v>
      </c>
    </row>
    <row r="50" spans="1:11" x14ac:dyDescent="0.3">
      <c r="A50" s="2">
        <v>49</v>
      </c>
      <c r="B50" s="2" t="s">
        <v>152</v>
      </c>
      <c r="C50" s="2"/>
      <c r="D50" s="2" t="s">
        <v>10</v>
      </c>
      <c r="E50" s="2" t="s">
        <v>27</v>
      </c>
      <c r="F50" s="2" t="s">
        <v>153</v>
      </c>
      <c r="G50" s="2" t="s">
        <v>205</v>
      </c>
      <c r="H50" s="2" t="s">
        <v>154</v>
      </c>
      <c r="I50" s="2">
        <v>23055</v>
      </c>
      <c r="J50" t="str">
        <f t="shared" si="0"/>
        <v>Keep</v>
      </c>
      <c r="K50" t="str">
        <f t="shared" si="2"/>
        <v>sandeep.singh@yahoo.com</v>
      </c>
    </row>
    <row r="51" spans="1:11" x14ac:dyDescent="0.3">
      <c r="A51" s="2">
        <v>50</v>
      </c>
      <c r="B51" s="2" t="s">
        <v>155</v>
      </c>
      <c r="C51" s="2">
        <v>30</v>
      </c>
      <c r="D51" s="2" t="s">
        <v>16</v>
      </c>
      <c r="E51" s="2" t="s">
        <v>31</v>
      </c>
      <c r="F51" s="2" t="s">
        <v>156</v>
      </c>
      <c r="G51" s="2" t="s">
        <v>206</v>
      </c>
      <c r="H51" s="2" t="s">
        <v>157</v>
      </c>
      <c r="I51" s="2">
        <v>18647</v>
      </c>
      <c r="J51" t="str">
        <f t="shared" si="0"/>
        <v>Keep</v>
      </c>
      <c r="K51" t="str">
        <f t="shared" si="2"/>
        <v>shalini.sharma@gmail.com</v>
      </c>
    </row>
  </sheetData>
  <phoneticPr fontId="5" type="noConversion"/>
  <conditionalFormatting sqref="A1:J51">
    <cfRule type="expression" priority="2">
      <formula>I1&gt;=LARGE($I$2:$I$51,10)</formula>
    </cfRule>
    <cfRule type="expression" priority="3">
      <formula>I1&gt;=LARGE($I$2:$I$51,10)</formula>
    </cfRule>
  </conditionalFormatting>
  <conditionalFormatting sqref="I1:I51">
    <cfRule type="expression" dxfId="11" priority="1">
      <formula>I2&gt;=LARGE($I$2:$I$51,10)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BEE63-331D-4B94-B1BA-8BB6AA84AEF9}">
  <dimension ref="A1:L51"/>
  <sheetViews>
    <sheetView topLeftCell="A25" workbookViewId="0">
      <selection activeCell="M34" sqref="M34"/>
    </sheetView>
  </sheetViews>
  <sheetFormatPr defaultRowHeight="14.4" x14ac:dyDescent="0.3"/>
  <cols>
    <col min="5" max="5" width="16.5546875" customWidth="1"/>
    <col min="6" max="6" width="25.109375" bestFit="1" customWidth="1"/>
    <col min="7" max="7" width="19.33203125" customWidth="1"/>
    <col min="11" max="11" width="24.21875" customWidth="1"/>
    <col min="12" max="12" width="17.109375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t="s">
        <v>207</v>
      </c>
      <c r="K1" t="s">
        <v>208</v>
      </c>
      <c r="L1" t="s">
        <v>209</v>
      </c>
    </row>
    <row r="2" spans="1:12" x14ac:dyDescent="0.3">
      <c r="A2" s="2">
        <v>1</v>
      </c>
      <c r="B2" s="2" t="s">
        <v>9</v>
      </c>
      <c r="C2" s="2">
        <v>32</v>
      </c>
      <c r="D2" s="2" t="s">
        <v>10</v>
      </c>
      <c r="E2" s="2" t="s">
        <v>11</v>
      </c>
      <c r="F2" s="2" t="s">
        <v>12</v>
      </c>
      <c r="G2" s="2" t="s">
        <v>13</v>
      </c>
      <c r="H2" s="2" t="s">
        <v>14</v>
      </c>
      <c r="I2" s="2">
        <v>4553</v>
      </c>
      <c r="J2" t="str">
        <f t="shared" ref="J2:J51" si="0">IF(AND(ISBLANK(B2), ISBLANK(F2)), "Delete", "Keep")</f>
        <v>Keep</v>
      </c>
      <c r="K2" t="str">
        <f t="shared" ref="K2:K51" si="1">IF(AND(B2&lt;&gt;"", F2=""), "support@unmessenger.com", F2)</f>
        <v>john.doe@gmail.com</v>
      </c>
      <c r="L2" t="str">
        <f t="shared" ref="L2:L33" si="2">PROPER(SUBSTITUTE(SUBSTITUTE(SUBSTITUTE(SUBSTITUTE(SUBSTITUTE(SUBSTITUTE(E2,"DaTa SciENce","Data Science"),"SALES","Sales"),"OperarYION","Operations"),"Hr","HR"),"Mangement","Management"),"SLES","Sales"))</f>
        <v>Operations</v>
      </c>
    </row>
    <row r="3" spans="1:12" x14ac:dyDescent="0.3">
      <c r="A3" s="2">
        <v>2</v>
      </c>
      <c r="B3" s="2" t="s">
        <v>15</v>
      </c>
      <c r="C3" s="2">
        <v>28</v>
      </c>
      <c r="D3" s="2" t="s">
        <v>16</v>
      </c>
      <c r="E3" s="2" t="s">
        <v>17</v>
      </c>
      <c r="F3" s="2" t="s">
        <v>18</v>
      </c>
      <c r="G3" s="2" t="s">
        <v>158</v>
      </c>
      <c r="H3" s="2" t="s">
        <v>20</v>
      </c>
      <c r="I3" s="2">
        <v>31169</v>
      </c>
      <c r="J3" t="str">
        <f t="shared" si="0"/>
        <v>Keep</v>
      </c>
      <c r="K3" t="str">
        <f t="shared" si="1"/>
        <v>jane.smith@hotmail.com</v>
      </c>
      <c r="L3" t="str">
        <f t="shared" si="2"/>
        <v>It Department</v>
      </c>
    </row>
    <row r="4" spans="1:12" x14ac:dyDescent="0.3">
      <c r="A4" s="2">
        <v>3</v>
      </c>
      <c r="B4" s="2" t="s">
        <v>21</v>
      </c>
      <c r="C4" s="2">
        <v>27</v>
      </c>
      <c r="D4" s="2" t="s">
        <v>10</v>
      </c>
      <c r="E4" s="2" t="s">
        <v>22</v>
      </c>
      <c r="F4" s="2" t="s">
        <v>23</v>
      </c>
      <c r="G4" s="2" t="s">
        <v>159</v>
      </c>
      <c r="H4" s="2" t="s">
        <v>25</v>
      </c>
      <c r="I4" s="2">
        <v>11116</v>
      </c>
      <c r="J4" t="str">
        <f t="shared" si="0"/>
        <v>Keep</v>
      </c>
      <c r="K4" t="str">
        <f t="shared" si="1"/>
        <v>amit.patel@gmail.com</v>
      </c>
      <c r="L4" t="str">
        <f t="shared" si="2"/>
        <v>It Devlopement</v>
      </c>
    </row>
    <row r="5" spans="1:12" x14ac:dyDescent="0.3">
      <c r="A5" s="2">
        <v>4</v>
      </c>
      <c r="B5" s="2" t="s">
        <v>26</v>
      </c>
      <c r="C5" s="2">
        <v>33</v>
      </c>
      <c r="D5" s="2" t="s">
        <v>16</v>
      </c>
      <c r="E5" s="2" t="s">
        <v>27</v>
      </c>
      <c r="F5" s="2" t="s">
        <v>28</v>
      </c>
      <c r="G5" s="2" t="s">
        <v>160</v>
      </c>
      <c r="H5" s="2" t="s">
        <v>30</v>
      </c>
      <c r="I5" s="2">
        <v>33457</v>
      </c>
      <c r="J5" t="str">
        <f t="shared" si="0"/>
        <v>Keep</v>
      </c>
      <c r="K5" t="str">
        <f t="shared" si="1"/>
        <v>priya.sharma@yahoo.com</v>
      </c>
      <c r="L5" t="str">
        <f t="shared" si="2"/>
        <v>Sales</v>
      </c>
    </row>
    <row r="6" spans="1:12" x14ac:dyDescent="0.3">
      <c r="A6" s="2">
        <v>5</v>
      </c>
      <c r="B6" s="2" t="str">
        <f>IF(B2&lt;&gt;"",B2,LEFT(F2,FIND("@",F2)-1))</f>
        <v>John Doe</v>
      </c>
      <c r="C6" s="2">
        <v>29</v>
      </c>
      <c r="D6" s="2" t="s">
        <v>16</v>
      </c>
      <c r="E6" s="2" t="s">
        <v>31</v>
      </c>
      <c r="F6" s="2" t="s">
        <v>32</v>
      </c>
      <c r="G6" s="2" t="s">
        <v>161</v>
      </c>
      <c r="H6" s="2"/>
      <c r="I6" s="2">
        <v>21918</v>
      </c>
      <c r="J6" t="str">
        <f t="shared" si="0"/>
        <v>Keep</v>
      </c>
      <c r="K6" t="str">
        <f t="shared" si="1"/>
        <v>jane.doe@gmail.com</v>
      </c>
      <c r="L6" t="str">
        <f t="shared" si="2"/>
        <v>Sales</v>
      </c>
    </row>
    <row r="7" spans="1:12" x14ac:dyDescent="0.3">
      <c r="A7" s="2">
        <v>6</v>
      </c>
      <c r="B7" s="2" t="s">
        <v>33</v>
      </c>
      <c r="C7" s="2">
        <v>34</v>
      </c>
      <c r="D7" s="2" t="s">
        <v>10</v>
      </c>
      <c r="E7" s="2" t="s">
        <v>34</v>
      </c>
      <c r="F7" s="2" t="s">
        <v>35</v>
      </c>
      <c r="G7" s="2" t="s">
        <v>162</v>
      </c>
      <c r="H7" s="2" t="s">
        <v>36</v>
      </c>
      <c r="I7" s="2">
        <v>33418</v>
      </c>
      <c r="J7" t="str">
        <f t="shared" si="0"/>
        <v>Keep</v>
      </c>
      <c r="K7" t="str">
        <f t="shared" si="1"/>
        <v>rakesh.kumar@yahoo.com</v>
      </c>
      <c r="L7" t="str">
        <f t="shared" si="2"/>
        <v>Data Science</v>
      </c>
    </row>
    <row r="8" spans="1:12" x14ac:dyDescent="0.3">
      <c r="A8" s="2">
        <v>7</v>
      </c>
      <c r="B8" s="2" t="s">
        <v>37</v>
      </c>
      <c r="C8" s="2">
        <v>25</v>
      </c>
      <c r="D8" s="2" t="s">
        <v>16</v>
      </c>
      <c r="E8" s="2" t="s">
        <v>22</v>
      </c>
      <c r="F8" s="2"/>
      <c r="G8" s="2" t="s">
        <v>163</v>
      </c>
      <c r="H8" s="2" t="s">
        <v>39</v>
      </c>
      <c r="I8" s="2">
        <v>45828</v>
      </c>
      <c r="J8" t="str">
        <f t="shared" si="0"/>
        <v>Keep</v>
      </c>
      <c r="K8" t="str">
        <f t="shared" si="1"/>
        <v>support@unmessenger.com</v>
      </c>
      <c r="L8" t="str">
        <f t="shared" si="2"/>
        <v>It Devlopement</v>
      </c>
    </row>
    <row r="9" spans="1:12" x14ac:dyDescent="0.3">
      <c r="A9" s="2">
        <v>8</v>
      </c>
      <c r="B9" s="2" t="s">
        <v>40</v>
      </c>
      <c r="C9" s="2">
        <v>31</v>
      </c>
      <c r="D9" s="2" t="s">
        <v>10</v>
      </c>
      <c r="E9" s="2" t="s">
        <v>27</v>
      </c>
      <c r="F9" s="2" t="s">
        <v>41</v>
      </c>
      <c r="G9" s="2" t="s">
        <v>164</v>
      </c>
      <c r="H9" s="2"/>
      <c r="I9" s="2">
        <v>45450</v>
      </c>
      <c r="J9" t="str">
        <f t="shared" si="0"/>
        <v>Keep</v>
      </c>
      <c r="K9" t="str">
        <f t="shared" si="1"/>
        <v>aman.verma@gmail.com</v>
      </c>
      <c r="L9" t="str">
        <f t="shared" si="2"/>
        <v>Sales</v>
      </c>
    </row>
    <row r="10" spans="1:12" x14ac:dyDescent="0.3">
      <c r="A10" s="2">
        <v>9</v>
      </c>
      <c r="B10" s="2" t="s">
        <v>42</v>
      </c>
      <c r="C10" s="2">
        <v>27</v>
      </c>
      <c r="D10" s="2" t="s">
        <v>16</v>
      </c>
      <c r="E10" s="2" t="s">
        <v>31</v>
      </c>
      <c r="F10" s="2" t="s">
        <v>43</v>
      </c>
      <c r="G10" s="2" t="s">
        <v>165</v>
      </c>
      <c r="H10" s="2" t="s">
        <v>44</v>
      </c>
      <c r="I10" s="2">
        <v>49938</v>
      </c>
      <c r="J10" t="str">
        <f t="shared" si="0"/>
        <v>Keep</v>
      </c>
      <c r="K10" t="str">
        <f t="shared" si="1"/>
        <v>neha.gupta@hotmail.com</v>
      </c>
      <c r="L10" t="str">
        <f t="shared" si="2"/>
        <v>Sales</v>
      </c>
    </row>
    <row r="11" spans="1:12" x14ac:dyDescent="0.3">
      <c r="A11" s="2">
        <v>10</v>
      </c>
      <c r="B11" s="2" t="str">
        <f>IF(B2&lt;&gt;"",B2,LEFT(F2,FIND("@",F2)-1))</f>
        <v>John Doe</v>
      </c>
      <c r="C11" s="2">
        <v>35</v>
      </c>
      <c r="D11" s="2" t="s">
        <v>10</v>
      </c>
      <c r="E11" s="2" t="s">
        <v>11</v>
      </c>
      <c r="F11" s="2" t="s">
        <v>45</v>
      </c>
      <c r="G11" s="2" t="s">
        <v>166</v>
      </c>
      <c r="H11" s="2" t="s">
        <v>46</v>
      </c>
      <c r="I11" s="2">
        <v>9818</v>
      </c>
      <c r="J11" t="str">
        <f t="shared" si="0"/>
        <v>Keep</v>
      </c>
      <c r="K11" t="str">
        <f t="shared" si="1"/>
        <v>naveen.sharma@gmail.com</v>
      </c>
      <c r="L11" t="str">
        <f t="shared" si="2"/>
        <v>Operations</v>
      </c>
    </row>
    <row r="12" spans="1:12" x14ac:dyDescent="0.3">
      <c r="A12" s="2">
        <v>11</v>
      </c>
      <c r="B12" s="2" t="s">
        <v>47</v>
      </c>
      <c r="C12" s="2">
        <f>IF(ISBLANK(C2), AVERAGE($C$2:$C$51), C2)</f>
        <v>32</v>
      </c>
      <c r="D12" s="2" t="s">
        <v>16</v>
      </c>
      <c r="E12" s="2" t="s">
        <v>17</v>
      </c>
      <c r="F12" s="2" t="s">
        <v>48</v>
      </c>
      <c r="G12" s="2" t="s">
        <v>167</v>
      </c>
      <c r="H12" s="2" t="s">
        <v>49</v>
      </c>
      <c r="I12" s="2">
        <v>41836</v>
      </c>
      <c r="J12" t="str">
        <f t="shared" si="0"/>
        <v>Keep</v>
      </c>
      <c r="K12" t="str">
        <f t="shared" si="1"/>
        <v>vinita.kapoor@yahoo.com</v>
      </c>
      <c r="L12" t="str">
        <f t="shared" si="2"/>
        <v>It Department</v>
      </c>
    </row>
    <row r="13" spans="1:12" x14ac:dyDescent="0.3">
      <c r="A13" s="2">
        <v>12</v>
      </c>
      <c r="B13" s="2" t="s">
        <v>50</v>
      </c>
      <c r="C13" s="2">
        <f>IF(ISBLANK(C2), AVERAGE($C$2:$C$51), C2)</f>
        <v>32</v>
      </c>
      <c r="D13" s="2" t="s">
        <v>10</v>
      </c>
      <c r="E13" s="2" t="s">
        <v>17</v>
      </c>
      <c r="F13" s="2" t="s">
        <v>51</v>
      </c>
      <c r="G13" s="2" t="s">
        <v>168</v>
      </c>
      <c r="H13" s="2" t="s">
        <v>52</v>
      </c>
      <c r="I13" s="2">
        <v>11901</v>
      </c>
      <c r="J13" t="str">
        <f t="shared" si="0"/>
        <v>Keep</v>
      </c>
      <c r="K13" t="str">
        <f t="shared" si="1"/>
        <v>rajeev.kumar@hotmail.com</v>
      </c>
      <c r="L13" t="str">
        <f t="shared" si="2"/>
        <v>It Department</v>
      </c>
    </row>
    <row r="14" spans="1:12" x14ac:dyDescent="0.3">
      <c r="A14" s="2">
        <v>13</v>
      </c>
      <c r="B14" s="2" t="str">
        <f>IF(B2&lt;&gt;"",B2,LEFT(F2,FIND("@",F2)-1))</f>
        <v>John Doe</v>
      </c>
      <c r="C14" s="2">
        <v>26</v>
      </c>
      <c r="D14" s="2" t="s">
        <v>10</v>
      </c>
      <c r="E14" s="2" t="s">
        <v>53</v>
      </c>
      <c r="F14" s="2"/>
      <c r="G14" s="2" t="s">
        <v>169</v>
      </c>
      <c r="H14" s="2" t="s">
        <v>54</v>
      </c>
      <c r="I14" s="2">
        <v>46236</v>
      </c>
      <c r="J14" t="str">
        <f t="shared" si="0"/>
        <v>Keep</v>
      </c>
      <c r="K14" t="str">
        <f t="shared" si="1"/>
        <v>support@unmessenger.com</v>
      </c>
      <c r="L14" t="str">
        <f t="shared" si="2"/>
        <v>Sales</v>
      </c>
    </row>
    <row r="15" spans="1:12" x14ac:dyDescent="0.3">
      <c r="A15" s="2">
        <v>14</v>
      </c>
      <c r="B15" s="2"/>
      <c r="C15" s="2">
        <v>28</v>
      </c>
      <c r="D15" s="2" t="s">
        <v>16</v>
      </c>
      <c r="E15" s="2" t="s">
        <v>56</v>
      </c>
      <c r="F15" s="2" t="s">
        <v>57</v>
      </c>
      <c r="G15" s="2" t="s">
        <v>170</v>
      </c>
      <c r="H15" s="2" t="s">
        <v>58</v>
      </c>
      <c r="I15" s="2">
        <v>21978</v>
      </c>
      <c r="J15" t="str">
        <f t="shared" si="0"/>
        <v>Keep</v>
      </c>
      <c r="K15" t="str">
        <f t="shared" si="1"/>
        <v>swati.singh@gmail.com</v>
      </c>
      <c r="L15" t="str">
        <f t="shared" si="2"/>
        <v>Hr</v>
      </c>
    </row>
    <row r="16" spans="1:12" x14ac:dyDescent="0.3">
      <c r="A16" s="2">
        <v>15</v>
      </c>
      <c r="B16" s="2"/>
      <c r="C16" s="2">
        <v>30</v>
      </c>
      <c r="D16" s="2" t="s">
        <v>16</v>
      </c>
      <c r="E16" s="2" t="s">
        <v>59</v>
      </c>
      <c r="F16" s="2" t="s">
        <v>60</v>
      </c>
      <c r="G16" s="2" t="s">
        <v>171</v>
      </c>
      <c r="H16" s="2"/>
      <c r="I16" s="2">
        <v>49400</v>
      </c>
      <c r="J16" t="str">
        <f t="shared" si="0"/>
        <v>Keep</v>
      </c>
      <c r="K16" t="str">
        <f t="shared" si="1"/>
        <v>kavita.sharma@yahoo.com</v>
      </c>
      <c r="L16" t="str">
        <f t="shared" si="2"/>
        <v>Finance/Accounts</v>
      </c>
    </row>
    <row r="17" spans="1:12" x14ac:dyDescent="0.3">
      <c r="A17" s="2">
        <v>16</v>
      </c>
      <c r="B17" s="2" t="s">
        <v>61</v>
      </c>
      <c r="C17" s="2">
        <v>32</v>
      </c>
      <c r="D17" s="2" t="s">
        <v>10</v>
      </c>
      <c r="E17" s="2" t="s">
        <v>62</v>
      </c>
      <c r="F17" s="2" t="s">
        <v>63</v>
      </c>
      <c r="G17" s="2" t="s">
        <v>172</v>
      </c>
      <c r="H17" s="2" t="s">
        <v>64</v>
      </c>
      <c r="I17" s="2">
        <v>28476</v>
      </c>
      <c r="J17" t="str">
        <f t="shared" si="0"/>
        <v>Keep</v>
      </c>
      <c r="K17" t="str">
        <f t="shared" si="1"/>
        <v>manish.patel@hotmail.com</v>
      </c>
      <c r="L17" t="str">
        <f t="shared" si="2"/>
        <v>Management</v>
      </c>
    </row>
    <row r="18" spans="1:12" x14ac:dyDescent="0.3">
      <c r="A18" s="2">
        <v>17</v>
      </c>
      <c r="B18" s="2" t="s">
        <v>65</v>
      </c>
      <c r="C18" s="2">
        <v>26</v>
      </c>
      <c r="D18" s="2" t="s">
        <v>16</v>
      </c>
      <c r="E18" s="2" t="s">
        <v>66</v>
      </c>
      <c r="F18" s="2" t="s">
        <v>67</v>
      </c>
      <c r="G18" s="2" t="s">
        <v>173</v>
      </c>
      <c r="H18" s="2"/>
      <c r="I18" s="2">
        <v>40088</v>
      </c>
      <c r="J18" t="str">
        <f t="shared" si="0"/>
        <v>Keep</v>
      </c>
      <c r="K18" t="str">
        <f t="shared" si="1"/>
        <v>priyanka.jain@yahoo.com</v>
      </c>
      <c r="L18" t="str">
        <f t="shared" si="2"/>
        <v>Data Science</v>
      </c>
    </row>
    <row r="19" spans="1:12" x14ac:dyDescent="0.3">
      <c r="A19" s="2">
        <v>18</v>
      </c>
      <c r="B19" s="2" t="s">
        <v>68</v>
      </c>
      <c r="C19" s="2">
        <v>28</v>
      </c>
      <c r="D19" s="2" t="s">
        <v>10</v>
      </c>
      <c r="E19" s="2" t="s">
        <v>34</v>
      </c>
      <c r="F19" s="2" t="s">
        <v>69</v>
      </c>
      <c r="G19" s="2" t="s">
        <v>174</v>
      </c>
      <c r="H19" s="2" t="s">
        <v>70</v>
      </c>
      <c r="I19" s="2">
        <v>2949</v>
      </c>
      <c r="J19" t="str">
        <f t="shared" si="0"/>
        <v>Keep</v>
      </c>
      <c r="K19" t="str">
        <f t="shared" si="1"/>
        <v>rohit.sharma@gmail.com</v>
      </c>
      <c r="L19" t="str">
        <f t="shared" si="2"/>
        <v>Data Science</v>
      </c>
    </row>
    <row r="20" spans="1:12" x14ac:dyDescent="0.3">
      <c r="A20" s="2">
        <v>19</v>
      </c>
      <c r="B20" s="2" t="s">
        <v>71</v>
      </c>
      <c r="C20" s="2">
        <v>30</v>
      </c>
      <c r="D20" s="2" t="s">
        <v>16</v>
      </c>
      <c r="E20" s="2" t="s">
        <v>34</v>
      </c>
      <c r="F20" s="2" t="s">
        <v>72</v>
      </c>
      <c r="G20" s="2" t="s">
        <v>175</v>
      </c>
      <c r="H20" s="2" t="s">
        <v>73</v>
      </c>
      <c r="I20" s="2">
        <v>3337</v>
      </c>
      <c r="J20" t="str">
        <f t="shared" si="0"/>
        <v>Keep</v>
      </c>
      <c r="K20" t="str">
        <f t="shared" si="1"/>
        <v>deepika.singh@yahoo.com</v>
      </c>
      <c r="L20" t="str">
        <f t="shared" si="2"/>
        <v>Data Science</v>
      </c>
    </row>
    <row r="21" spans="1:12" x14ac:dyDescent="0.3">
      <c r="A21" s="2">
        <v>20</v>
      </c>
      <c r="B21" s="2"/>
      <c r="C21" s="2">
        <v>32</v>
      </c>
      <c r="D21" s="2" t="s">
        <v>10</v>
      </c>
      <c r="E21" s="2" t="s">
        <v>59</v>
      </c>
      <c r="F21" s="2" t="s">
        <v>74</v>
      </c>
      <c r="G21" s="2" t="s">
        <v>176</v>
      </c>
      <c r="H21" s="2"/>
      <c r="I21" s="2">
        <v>2857</v>
      </c>
      <c r="J21" t="str">
        <f t="shared" si="0"/>
        <v>Keep</v>
      </c>
      <c r="K21" t="str">
        <f t="shared" si="1"/>
        <v>vikas.joshi@gmail.com</v>
      </c>
      <c r="L21" t="str">
        <f t="shared" si="2"/>
        <v>Finance/Accounts</v>
      </c>
    </row>
    <row r="22" spans="1:12" x14ac:dyDescent="0.3">
      <c r="A22" s="2">
        <v>21</v>
      </c>
      <c r="B22" s="2" t="s">
        <v>75</v>
      </c>
      <c r="C22" s="2">
        <v>26</v>
      </c>
      <c r="D22" s="2" t="s">
        <v>16</v>
      </c>
      <c r="E22" s="2" t="s">
        <v>62</v>
      </c>
      <c r="F22" s="2" t="s">
        <v>76</v>
      </c>
      <c r="G22" s="2" t="s">
        <v>177</v>
      </c>
      <c r="H22" s="2" t="s">
        <v>77</v>
      </c>
      <c r="I22" s="2">
        <v>35969</v>
      </c>
      <c r="J22" t="str">
        <f t="shared" si="0"/>
        <v>Keep</v>
      </c>
      <c r="K22" t="str">
        <f t="shared" si="1"/>
        <v>nisha.verma@hotmail.com</v>
      </c>
      <c r="L22" t="str">
        <f t="shared" si="2"/>
        <v>Management</v>
      </c>
    </row>
    <row r="23" spans="1:12" x14ac:dyDescent="0.3">
      <c r="A23" s="2">
        <v>22</v>
      </c>
      <c r="B23" s="2" t="s">
        <v>78</v>
      </c>
      <c r="C23" s="2">
        <v>33</v>
      </c>
      <c r="D23" s="2" t="s">
        <v>10</v>
      </c>
      <c r="E23" s="2" t="s">
        <v>66</v>
      </c>
      <c r="F23" s="2" t="s">
        <v>79</v>
      </c>
      <c r="G23" s="2" t="s">
        <v>178</v>
      </c>
      <c r="H23" s="2" t="s">
        <v>80</v>
      </c>
      <c r="I23" s="2">
        <v>49681</v>
      </c>
      <c r="J23" t="str">
        <f t="shared" si="0"/>
        <v>Keep</v>
      </c>
      <c r="K23" t="str">
        <f t="shared" si="1"/>
        <v>manoj.kumar@yahoo.com</v>
      </c>
      <c r="L23" t="str">
        <f t="shared" si="2"/>
        <v>Data Science</v>
      </c>
    </row>
    <row r="24" spans="1:12" x14ac:dyDescent="0.3">
      <c r="A24" s="2">
        <v>23</v>
      </c>
      <c r="B24" s="2"/>
      <c r="C24" s="2">
        <v>27</v>
      </c>
      <c r="D24" s="2" t="s">
        <v>16</v>
      </c>
      <c r="E24" s="2" t="s">
        <v>34</v>
      </c>
      <c r="F24" s="2"/>
      <c r="G24" s="2" t="s">
        <v>179</v>
      </c>
      <c r="H24" s="2" t="s">
        <v>81</v>
      </c>
      <c r="I24" s="2">
        <v>45102</v>
      </c>
      <c r="J24" t="str">
        <f t="shared" si="0"/>
        <v>Delete</v>
      </c>
      <c r="K24">
        <f t="shared" si="1"/>
        <v>0</v>
      </c>
      <c r="L24" t="str">
        <f t="shared" si="2"/>
        <v>Data Science</v>
      </c>
    </row>
    <row r="25" spans="1:12" x14ac:dyDescent="0.3">
      <c r="A25" s="2">
        <v>24</v>
      </c>
      <c r="B25" s="2" t="s">
        <v>82</v>
      </c>
      <c r="C25" s="2">
        <v>29</v>
      </c>
      <c r="D25" s="2" t="s">
        <v>10</v>
      </c>
      <c r="E25" s="2" t="s">
        <v>11</v>
      </c>
      <c r="F25" s="2" t="s">
        <v>83</v>
      </c>
      <c r="G25" s="2" t="s">
        <v>180</v>
      </c>
      <c r="H25" s="2"/>
      <c r="I25" s="2">
        <v>15853</v>
      </c>
      <c r="J25" t="str">
        <f t="shared" si="0"/>
        <v>Keep</v>
      </c>
      <c r="K25" t="str">
        <f t="shared" si="1"/>
        <v>sanjay.gupta@gmail.com</v>
      </c>
      <c r="L25" t="str">
        <f t="shared" si="2"/>
        <v>Operations</v>
      </c>
    </row>
    <row r="26" spans="1:12" x14ac:dyDescent="0.3">
      <c r="A26" s="2">
        <v>25</v>
      </c>
      <c r="B26" s="2" t="s">
        <v>85</v>
      </c>
      <c r="C26" s="2"/>
      <c r="D26" s="2" t="s">
        <v>16</v>
      </c>
      <c r="E26" s="2" t="s">
        <v>17</v>
      </c>
      <c r="F26" s="2" t="s">
        <v>86</v>
      </c>
      <c r="G26" s="2" t="s">
        <v>181</v>
      </c>
      <c r="H26" s="2" t="s">
        <v>87</v>
      </c>
      <c r="I26" s="2">
        <v>6926</v>
      </c>
      <c r="J26" t="str">
        <f t="shared" si="0"/>
        <v>Keep</v>
      </c>
      <c r="K26" t="str">
        <f t="shared" si="1"/>
        <v>anjali.sharma@yahoo.com</v>
      </c>
      <c r="L26" t="str">
        <f t="shared" si="2"/>
        <v>It Department</v>
      </c>
    </row>
    <row r="27" spans="1:12" x14ac:dyDescent="0.3">
      <c r="A27" s="2">
        <v>26</v>
      </c>
      <c r="B27" s="2" t="s">
        <v>88</v>
      </c>
      <c r="C27" s="2">
        <v>31</v>
      </c>
      <c r="D27" s="2" t="s">
        <v>10</v>
      </c>
      <c r="E27" s="2" t="s">
        <v>59</v>
      </c>
      <c r="F27" s="2" t="s">
        <v>89</v>
      </c>
      <c r="G27" s="2" t="s">
        <v>182</v>
      </c>
      <c r="H27" s="2" t="s">
        <v>90</v>
      </c>
      <c r="I27" s="2">
        <v>45678</v>
      </c>
      <c r="J27" t="str">
        <f t="shared" si="0"/>
        <v>Keep</v>
      </c>
      <c r="K27" t="str">
        <f t="shared" si="1"/>
        <v>akash.patel@hotmail.com</v>
      </c>
      <c r="L27" t="str">
        <f t="shared" si="2"/>
        <v>Finance/Accounts</v>
      </c>
    </row>
    <row r="28" spans="1:12" x14ac:dyDescent="0.3">
      <c r="A28" s="2">
        <v>27</v>
      </c>
      <c r="B28" s="2" t="s">
        <v>91</v>
      </c>
      <c r="C28" s="2">
        <v>28</v>
      </c>
      <c r="D28" s="2" t="s">
        <v>16</v>
      </c>
      <c r="E28" s="2" t="s">
        <v>62</v>
      </c>
      <c r="F28" s="2" t="s">
        <v>92</v>
      </c>
      <c r="G28" s="2" t="s">
        <v>183</v>
      </c>
      <c r="H28" s="2" t="s">
        <v>93</v>
      </c>
      <c r="I28" s="2">
        <v>8022</v>
      </c>
      <c r="J28" t="str">
        <f t="shared" si="0"/>
        <v>Keep</v>
      </c>
      <c r="K28" t="str">
        <f t="shared" si="1"/>
        <v>preeti.singh@gmail.com</v>
      </c>
      <c r="L28" t="str">
        <f t="shared" si="2"/>
        <v>Management</v>
      </c>
    </row>
    <row r="29" spans="1:12" x14ac:dyDescent="0.3">
      <c r="A29" s="2">
        <v>28</v>
      </c>
      <c r="B29" s="2" t="s">
        <v>94</v>
      </c>
      <c r="C29" s="2">
        <v>34</v>
      </c>
      <c r="D29" s="2" t="s">
        <v>10</v>
      </c>
      <c r="E29" s="2" t="s">
        <v>66</v>
      </c>
      <c r="F29" s="2" t="s">
        <v>95</v>
      </c>
      <c r="G29" s="2" t="s">
        <v>184</v>
      </c>
      <c r="H29" s="2" t="s">
        <v>96</v>
      </c>
      <c r="I29" s="2">
        <v>3484</v>
      </c>
      <c r="J29" t="str">
        <f t="shared" si="0"/>
        <v>Keep</v>
      </c>
      <c r="K29" t="str">
        <f t="shared" si="1"/>
        <v>ravi.kumar@gmail.com</v>
      </c>
      <c r="L29" t="str">
        <f t="shared" si="2"/>
        <v>Data Science</v>
      </c>
    </row>
    <row r="30" spans="1:12" x14ac:dyDescent="0.3">
      <c r="A30" s="2">
        <v>29</v>
      </c>
      <c r="B30" s="2" t="s">
        <v>97</v>
      </c>
      <c r="C30" s="2">
        <v>26</v>
      </c>
      <c r="D30" s="2" t="s">
        <v>16</v>
      </c>
      <c r="E30" s="2" t="s">
        <v>22</v>
      </c>
      <c r="F30" s="2" t="s">
        <v>98</v>
      </c>
      <c r="G30" s="2" t="s">
        <v>185</v>
      </c>
      <c r="H30" s="2" t="s">
        <v>99</v>
      </c>
      <c r="I30" s="2">
        <v>11342</v>
      </c>
      <c r="J30" t="str">
        <f t="shared" si="0"/>
        <v>Keep</v>
      </c>
      <c r="K30" t="str">
        <f t="shared" si="1"/>
        <v>swati.mishra@yahoo.com</v>
      </c>
      <c r="L30" t="str">
        <f t="shared" si="2"/>
        <v>It Devlopement</v>
      </c>
    </row>
    <row r="31" spans="1:12" x14ac:dyDescent="0.3">
      <c r="A31" s="2">
        <v>30</v>
      </c>
      <c r="B31" s="2"/>
      <c r="C31" s="2">
        <v>29</v>
      </c>
      <c r="D31" s="2" t="s">
        <v>10</v>
      </c>
      <c r="E31" s="2" t="s">
        <v>27</v>
      </c>
      <c r="F31" s="2" t="s">
        <v>100</v>
      </c>
      <c r="G31" s="2" t="s">
        <v>186</v>
      </c>
      <c r="H31" s="2" t="s">
        <v>101</v>
      </c>
      <c r="I31" s="2">
        <v>40940</v>
      </c>
      <c r="J31" t="str">
        <f t="shared" si="0"/>
        <v>Keep</v>
      </c>
      <c r="K31" t="str">
        <f t="shared" si="1"/>
        <v>ankit.singh@hotmail.com</v>
      </c>
      <c r="L31" t="str">
        <f t="shared" si="2"/>
        <v>Sales</v>
      </c>
    </row>
    <row r="32" spans="1:12" x14ac:dyDescent="0.3">
      <c r="A32" s="2">
        <v>31</v>
      </c>
      <c r="B32" s="2" t="s">
        <v>42</v>
      </c>
      <c r="C32" s="2">
        <v>27</v>
      </c>
      <c r="D32" s="2" t="s">
        <v>16</v>
      </c>
      <c r="E32" s="2" t="s">
        <v>31</v>
      </c>
      <c r="F32" s="2" t="s">
        <v>102</v>
      </c>
      <c r="G32" s="2" t="s">
        <v>187</v>
      </c>
      <c r="H32" s="2"/>
      <c r="I32" s="2">
        <v>41841</v>
      </c>
      <c r="J32" t="str">
        <f t="shared" si="0"/>
        <v>Keep</v>
      </c>
      <c r="K32" t="str">
        <f t="shared" si="1"/>
        <v>neha.gupta@gmail.com</v>
      </c>
      <c r="L32" t="str">
        <f t="shared" si="2"/>
        <v>Sales</v>
      </c>
    </row>
    <row r="33" spans="1:12" x14ac:dyDescent="0.3">
      <c r="A33" s="2">
        <v>32</v>
      </c>
      <c r="B33" s="2" t="s">
        <v>103</v>
      </c>
      <c r="C33" s="2">
        <v>32</v>
      </c>
      <c r="D33" s="2" t="s">
        <v>10</v>
      </c>
      <c r="E33" s="2" t="s">
        <v>59</v>
      </c>
      <c r="F33" s="2" t="s">
        <v>104</v>
      </c>
      <c r="G33" s="2" t="s">
        <v>188</v>
      </c>
      <c r="H33" s="2" t="s">
        <v>105</v>
      </c>
      <c r="I33" s="2">
        <v>39835</v>
      </c>
      <c r="J33" t="str">
        <f t="shared" si="0"/>
        <v>Keep</v>
      </c>
      <c r="K33" t="str">
        <f t="shared" si="1"/>
        <v>rajeev.sharma@yahoo.com</v>
      </c>
      <c r="L33" t="str">
        <f t="shared" si="2"/>
        <v>Finance/Accounts</v>
      </c>
    </row>
    <row r="34" spans="1:12" x14ac:dyDescent="0.3">
      <c r="A34" s="2">
        <v>33</v>
      </c>
      <c r="B34" s="2"/>
      <c r="C34" s="2">
        <v>33</v>
      </c>
      <c r="D34" s="2" t="s">
        <v>16</v>
      </c>
      <c r="E34" s="2" t="s">
        <v>62</v>
      </c>
      <c r="F34" s="2" t="s">
        <v>106</v>
      </c>
      <c r="G34" s="2" t="s">
        <v>189</v>
      </c>
      <c r="H34" s="2" t="s">
        <v>107</v>
      </c>
      <c r="I34" s="2">
        <v>9577</v>
      </c>
      <c r="J34" t="str">
        <f t="shared" si="0"/>
        <v>Keep</v>
      </c>
      <c r="K34" t="str">
        <f t="shared" si="1"/>
        <v>sarika.patel@hotmail.com</v>
      </c>
      <c r="L34" t="str">
        <f t="shared" ref="L34:L51" si="3">PROPER(SUBSTITUTE(SUBSTITUTE(SUBSTITUTE(SUBSTITUTE(SUBSTITUTE(SUBSTITUTE(E34,"DaTa SciENce","Data Science"),"SALES","Sales"),"OperarYION","Operations"),"Hr","HR"),"Mangement","Management"),"SLES","Sales"))</f>
        <v>Management</v>
      </c>
    </row>
    <row r="35" spans="1:12" x14ac:dyDescent="0.3">
      <c r="A35" s="2">
        <v>34</v>
      </c>
      <c r="B35" s="2" t="s">
        <v>108</v>
      </c>
      <c r="C35" s="2">
        <v>30</v>
      </c>
      <c r="D35" s="2" t="s">
        <v>10</v>
      </c>
      <c r="E35" s="2" t="s">
        <v>66</v>
      </c>
      <c r="F35" s="2" t="s">
        <v>109</v>
      </c>
      <c r="G35" s="2" t="s">
        <v>190</v>
      </c>
      <c r="H35" s="2" t="s">
        <v>110</v>
      </c>
      <c r="I35" s="2">
        <v>29480</v>
      </c>
      <c r="J35" t="str">
        <f t="shared" si="0"/>
        <v>Keep</v>
      </c>
      <c r="K35" t="str">
        <f t="shared" si="1"/>
        <v>vinay.singh@gmail.com</v>
      </c>
      <c r="L35" t="str">
        <f t="shared" si="3"/>
        <v>Data Science</v>
      </c>
    </row>
    <row r="36" spans="1:12" x14ac:dyDescent="0.3">
      <c r="A36" s="2">
        <v>35</v>
      </c>
      <c r="B36" s="2" t="s">
        <v>111</v>
      </c>
      <c r="C36" s="2"/>
      <c r="D36" s="2" t="s">
        <v>16</v>
      </c>
      <c r="E36" s="2" t="s">
        <v>22</v>
      </c>
      <c r="F36" s="2" t="s">
        <v>112</v>
      </c>
      <c r="G36" s="2" t="s">
        <v>191</v>
      </c>
      <c r="H36" s="2" t="s">
        <v>113</v>
      </c>
      <c r="I36" s="2">
        <v>14254</v>
      </c>
      <c r="J36" t="str">
        <f t="shared" si="0"/>
        <v>Keep</v>
      </c>
      <c r="K36" t="str">
        <f t="shared" si="1"/>
        <v>priya.gupta@yahoo.com</v>
      </c>
      <c r="L36" t="str">
        <f t="shared" si="3"/>
        <v>It Devlopement</v>
      </c>
    </row>
    <row r="37" spans="1:12" x14ac:dyDescent="0.3">
      <c r="A37" s="2">
        <v>36</v>
      </c>
      <c r="B37" s="2" t="s">
        <v>114</v>
      </c>
      <c r="C37" s="2">
        <v>29</v>
      </c>
      <c r="D37" s="2" t="s">
        <v>10</v>
      </c>
      <c r="E37" s="2" t="s">
        <v>27</v>
      </c>
      <c r="F37" s="2" t="s">
        <v>115</v>
      </c>
      <c r="G37" s="2" t="s">
        <v>192</v>
      </c>
      <c r="H37" s="2" t="s">
        <v>116</v>
      </c>
      <c r="I37" s="2">
        <v>37358</v>
      </c>
      <c r="J37" t="str">
        <f t="shared" si="0"/>
        <v>Keep</v>
      </c>
      <c r="K37" t="str">
        <f t="shared" si="1"/>
        <v>sushant.patel@hotmail.com</v>
      </c>
      <c r="L37" t="str">
        <f t="shared" si="3"/>
        <v>Sales</v>
      </c>
    </row>
    <row r="38" spans="1:12" x14ac:dyDescent="0.3">
      <c r="A38" s="2">
        <v>37</v>
      </c>
      <c r="B38" s="2"/>
      <c r="C38" s="2">
        <v>31</v>
      </c>
      <c r="D38" s="2" t="s">
        <v>16</v>
      </c>
      <c r="E38" s="2" t="s">
        <v>31</v>
      </c>
      <c r="F38" s="2" t="s">
        <v>117</v>
      </c>
      <c r="G38" s="2" t="s">
        <v>193</v>
      </c>
      <c r="H38" s="2" t="s">
        <v>118</v>
      </c>
      <c r="I38" s="2">
        <v>48367</v>
      </c>
      <c r="J38" t="str">
        <f t="shared" si="0"/>
        <v>Keep</v>
      </c>
      <c r="K38" t="str">
        <f t="shared" si="1"/>
        <v>payal.sharma@gmail.com</v>
      </c>
      <c r="L38" t="str">
        <f t="shared" si="3"/>
        <v>Sales</v>
      </c>
    </row>
    <row r="39" spans="1:12" x14ac:dyDescent="0.3">
      <c r="A39" s="2">
        <v>38</v>
      </c>
      <c r="B39" s="2" t="s">
        <v>119</v>
      </c>
      <c r="C39" s="2">
        <v>28</v>
      </c>
      <c r="D39" s="2" t="s">
        <v>10</v>
      </c>
      <c r="E39" s="2" t="s">
        <v>120</v>
      </c>
      <c r="F39" s="2" t="s">
        <v>121</v>
      </c>
      <c r="G39" s="2" t="s">
        <v>194</v>
      </c>
      <c r="H39" s="2" t="s">
        <v>122</v>
      </c>
      <c r="I39" s="2">
        <v>37473</v>
      </c>
      <c r="J39" t="str">
        <f t="shared" si="0"/>
        <v>Keep</v>
      </c>
      <c r="K39" t="str">
        <f t="shared" si="1"/>
        <v>mohit.verma@yahoo.com</v>
      </c>
      <c r="L39" t="str">
        <f t="shared" si="3"/>
        <v>Hr</v>
      </c>
    </row>
    <row r="40" spans="1:12" x14ac:dyDescent="0.3">
      <c r="A40" s="2">
        <v>39</v>
      </c>
      <c r="B40" s="2" t="s">
        <v>123</v>
      </c>
      <c r="C40" s="2">
        <v>33</v>
      </c>
      <c r="D40" s="2" t="s">
        <v>16</v>
      </c>
      <c r="E40" s="2" t="s">
        <v>124</v>
      </c>
      <c r="F40" s="2" t="s">
        <v>125</v>
      </c>
      <c r="G40" s="2" t="s">
        <v>195</v>
      </c>
      <c r="H40" s="2" t="s">
        <v>126</v>
      </c>
      <c r="I40" s="2">
        <v>30628</v>
      </c>
      <c r="J40" t="str">
        <f t="shared" si="0"/>
        <v>Keep</v>
      </c>
      <c r="K40" t="str">
        <f t="shared" si="1"/>
        <v>kavita.singh@hotmail.com</v>
      </c>
      <c r="L40" t="str">
        <f t="shared" si="3"/>
        <v>Hr</v>
      </c>
    </row>
    <row r="41" spans="1:12" x14ac:dyDescent="0.3">
      <c r="A41" s="2">
        <v>40</v>
      </c>
      <c r="B41" s="2" t="s">
        <v>127</v>
      </c>
      <c r="C41" s="2">
        <v>30</v>
      </c>
      <c r="D41" s="2" t="s">
        <v>10</v>
      </c>
      <c r="E41" s="2" t="s">
        <v>128</v>
      </c>
      <c r="F41" s="2" t="s">
        <v>129</v>
      </c>
      <c r="G41" s="2" t="s">
        <v>196</v>
      </c>
      <c r="H41" s="2" t="s">
        <v>130</v>
      </c>
      <c r="I41" s="2">
        <v>22018</v>
      </c>
      <c r="J41" t="str">
        <f t="shared" si="0"/>
        <v>Keep</v>
      </c>
      <c r="K41" t="str">
        <f t="shared" si="1"/>
        <v>ankit.patel@gmail.com</v>
      </c>
      <c r="L41" t="str">
        <f t="shared" si="3"/>
        <v>Operations</v>
      </c>
    </row>
    <row r="42" spans="1:12" x14ac:dyDescent="0.3">
      <c r="A42" s="2">
        <v>41</v>
      </c>
      <c r="B42" s="2" t="s">
        <v>131</v>
      </c>
      <c r="C42" s="2">
        <v>27</v>
      </c>
      <c r="D42" s="2" t="s">
        <v>16</v>
      </c>
      <c r="E42" s="2" t="s">
        <v>34</v>
      </c>
      <c r="F42" s="2" t="s">
        <v>132</v>
      </c>
      <c r="G42" s="2" t="s">
        <v>197</v>
      </c>
      <c r="H42" s="2" t="s">
        <v>133</v>
      </c>
      <c r="I42" s="2">
        <v>35747</v>
      </c>
      <c r="J42" t="str">
        <f t="shared" si="0"/>
        <v>Keep</v>
      </c>
      <c r="K42" t="str">
        <f t="shared" si="1"/>
        <v>pooja.mishra@yahoo.com</v>
      </c>
      <c r="L42" t="str">
        <f t="shared" si="3"/>
        <v>Data Science</v>
      </c>
    </row>
    <row r="43" spans="1:12" x14ac:dyDescent="0.3">
      <c r="A43" s="2">
        <v>42</v>
      </c>
      <c r="B43" s="2" t="s">
        <v>134</v>
      </c>
      <c r="C43" s="2">
        <v>29</v>
      </c>
      <c r="D43" s="2" t="s">
        <v>10</v>
      </c>
      <c r="E43" s="2" t="s">
        <v>31</v>
      </c>
      <c r="F43" s="2" t="s">
        <v>135</v>
      </c>
      <c r="G43" s="2" t="s">
        <v>198</v>
      </c>
      <c r="H43" s="2" t="s">
        <v>136</v>
      </c>
      <c r="I43" s="2">
        <v>32258</v>
      </c>
      <c r="J43" t="str">
        <f t="shared" si="0"/>
        <v>Keep</v>
      </c>
      <c r="K43" t="str">
        <f t="shared" si="1"/>
        <v>mohan.kumar@gmail.com</v>
      </c>
      <c r="L43" t="str">
        <f t="shared" si="3"/>
        <v>Sales</v>
      </c>
    </row>
    <row r="44" spans="1:12" x14ac:dyDescent="0.3">
      <c r="A44" s="2">
        <v>43</v>
      </c>
      <c r="B44" s="2" t="s">
        <v>137</v>
      </c>
      <c r="C44" s="2">
        <v>26</v>
      </c>
      <c r="D44" s="2" t="s">
        <v>16</v>
      </c>
      <c r="E44" s="2" t="s">
        <v>59</v>
      </c>
      <c r="F44" s="2" t="s">
        <v>138</v>
      </c>
      <c r="G44" s="2" t="s">
        <v>199</v>
      </c>
      <c r="H44" s="2" t="s">
        <v>139</v>
      </c>
      <c r="I44" s="2">
        <v>31047</v>
      </c>
      <c r="J44" t="str">
        <f t="shared" si="0"/>
        <v>Keep</v>
      </c>
      <c r="K44" t="str">
        <f t="shared" si="1"/>
        <v>anjali.gupta@hotmail.com</v>
      </c>
      <c r="L44" t="str">
        <f t="shared" si="3"/>
        <v>Finance/Accounts</v>
      </c>
    </row>
    <row r="45" spans="1:12" x14ac:dyDescent="0.3">
      <c r="A45" s="2">
        <v>44</v>
      </c>
      <c r="B45" s="2"/>
      <c r="C45" s="2">
        <v>28</v>
      </c>
      <c r="D45" s="2" t="s">
        <v>10</v>
      </c>
      <c r="E45" s="2" t="s">
        <v>62</v>
      </c>
      <c r="F45" s="2" t="s">
        <v>140</v>
      </c>
      <c r="G45" s="2" t="s">
        <v>200</v>
      </c>
      <c r="H45" s="2" t="s">
        <v>141</v>
      </c>
      <c r="I45" s="2">
        <v>31064</v>
      </c>
      <c r="J45" t="str">
        <f t="shared" si="0"/>
        <v>Keep</v>
      </c>
      <c r="K45" t="str">
        <f t="shared" si="1"/>
        <v>mukesh.sharma@yahoo.com</v>
      </c>
      <c r="L45" t="str">
        <f t="shared" si="3"/>
        <v>Management</v>
      </c>
    </row>
    <row r="46" spans="1:12" x14ac:dyDescent="0.3">
      <c r="A46" s="2">
        <v>45</v>
      </c>
      <c r="B46" s="2" t="s">
        <v>142</v>
      </c>
      <c r="C46" s="2">
        <v>31</v>
      </c>
      <c r="D46" s="2" t="s">
        <v>10</v>
      </c>
      <c r="E46" s="2" t="s">
        <v>66</v>
      </c>
      <c r="F46" s="2" t="s">
        <v>143</v>
      </c>
      <c r="G46" s="2" t="s">
        <v>201</v>
      </c>
      <c r="H46" s="2"/>
      <c r="I46" s="2">
        <v>3108</v>
      </c>
      <c r="J46" t="str">
        <f t="shared" si="0"/>
        <v>Keep</v>
      </c>
      <c r="K46" t="str">
        <f t="shared" si="1"/>
        <v>arjun.singh@gmail.com</v>
      </c>
      <c r="L46" t="str">
        <f t="shared" si="3"/>
        <v>Data Science</v>
      </c>
    </row>
    <row r="47" spans="1:12" x14ac:dyDescent="0.3">
      <c r="A47" s="2">
        <v>46</v>
      </c>
      <c r="B47" s="2" t="s">
        <v>144</v>
      </c>
      <c r="C47" s="2">
        <v>27</v>
      </c>
      <c r="D47" s="2" t="s">
        <v>16</v>
      </c>
      <c r="E47" s="2" t="s">
        <v>120</v>
      </c>
      <c r="F47" s="2" t="s">
        <v>145</v>
      </c>
      <c r="G47" s="2" t="s">
        <v>202</v>
      </c>
      <c r="H47" s="2" t="s">
        <v>146</v>
      </c>
      <c r="I47" s="2">
        <v>20205</v>
      </c>
      <c r="J47" t="str">
        <f t="shared" si="0"/>
        <v>Keep</v>
      </c>
      <c r="K47" t="str">
        <f t="shared" si="1"/>
        <v>divya.patel@yahoo.com</v>
      </c>
      <c r="L47" t="str">
        <f t="shared" si="3"/>
        <v>Hr</v>
      </c>
    </row>
    <row r="48" spans="1:12" x14ac:dyDescent="0.3">
      <c r="A48" s="2">
        <v>47</v>
      </c>
      <c r="B48" s="2"/>
      <c r="C48" s="2">
        <v>29</v>
      </c>
      <c r="D48" s="2" t="s">
        <v>10</v>
      </c>
      <c r="E48" s="2" t="s">
        <v>124</v>
      </c>
      <c r="F48" s="2" t="s">
        <v>147</v>
      </c>
      <c r="G48" s="2" t="s">
        <v>203</v>
      </c>
      <c r="H48" s="2" t="s">
        <v>148</v>
      </c>
      <c r="I48" s="2">
        <v>8746</v>
      </c>
      <c r="J48" t="str">
        <f t="shared" si="0"/>
        <v>Keep</v>
      </c>
      <c r="K48" t="str">
        <f t="shared" si="1"/>
        <v>gaurav.kumar@gmail.com</v>
      </c>
      <c r="L48" t="str">
        <f t="shared" si="3"/>
        <v>Hr</v>
      </c>
    </row>
    <row r="49" spans="1:12" x14ac:dyDescent="0.3">
      <c r="A49" s="2">
        <v>48</v>
      </c>
      <c r="B49" s="2" t="s">
        <v>149</v>
      </c>
      <c r="C49" s="2">
        <v>32</v>
      </c>
      <c r="D49" s="2" t="s">
        <v>16</v>
      </c>
      <c r="E49" s="2" t="s">
        <v>22</v>
      </c>
      <c r="F49" s="2" t="s">
        <v>150</v>
      </c>
      <c r="G49" s="2" t="s">
        <v>204</v>
      </c>
      <c r="H49" s="2" t="s">
        <v>151</v>
      </c>
      <c r="I49" s="2">
        <v>15531</v>
      </c>
      <c r="J49" t="str">
        <f t="shared" si="0"/>
        <v>Keep</v>
      </c>
      <c r="K49" t="str">
        <f t="shared" si="1"/>
        <v>aditi.shah@hotmail.com</v>
      </c>
      <c r="L49" t="str">
        <f t="shared" si="3"/>
        <v>It Devlopement</v>
      </c>
    </row>
    <row r="50" spans="1:12" x14ac:dyDescent="0.3">
      <c r="A50" s="2">
        <v>49</v>
      </c>
      <c r="B50" s="2" t="s">
        <v>152</v>
      </c>
      <c r="C50" s="2"/>
      <c r="D50" s="2" t="s">
        <v>10</v>
      </c>
      <c r="E50" s="2" t="s">
        <v>27</v>
      </c>
      <c r="F50" s="2" t="s">
        <v>153</v>
      </c>
      <c r="G50" s="2" t="s">
        <v>205</v>
      </c>
      <c r="H50" s="2" t="s">
        <v>154</v>
      </c>
      <c r="I50" s="2">
        <v>23055</v>
      </c>
      <c r="J50" t="str">
        <f t="shared" si="0"/>
        <v>Keep</v>
      </c>
      <c r="K50" t="str">
        <f t="shared" si="1"/>
        <v>sandeep.singh@yahoo.com</v>
      </c>
      <c r="L50" t="str">
        <f t="shared" si="3"/>
        <v>Sales</v>
      </c>
    </row>
    <row r="51" spans="1:12" x14ac:dyDescent="0.3">
      <c r="A51" s="2">
        <v>50</v>
      </c>
      <c r="B51" s="2" t="s">
        <v>155</v>
      </c>
      <c r="C51" s="2">
        <v>30</v>
      </c>
      <c r="D51" s="2" t="s">
        <v>16</v>
      </c>
      <c r="E51" s="2" t="s">
        <v>31</v>
      </c>
      <c r="F51" s="2" t="s">
        <v>156</v>
      </c>
      <c r="G51" s="2" t="s">
        <v>206</v>
      </c>
      <c r="H51" s="2" t="s">
        <v>157</v>
      </c>
      <c r="I51" s="2">
        <v>18647</v>
      </c>
      <c r="J51" t="str">
        <f t="shared" si="0"/>
        <v>Keep</v>
      </c>
      <c r="K51" t="str">
        <f t="shared" si="1"/>
        <v>shalini.sharma@gmail.com</v>
      </c>
      <c r="L51" t="str">
        <f t="shared" si="3"/>
        <v>Sales</v>
      </c>
    </row>
  </sheetData>
  <phoneticPr fontId="4" type="noConversion"/>
  <conditionalFormatting sqref="A1:J51">
    <cfRule type="expression" priority="2">
      <formula>I1&gt;=LARGE($I$2:$I$51,10)</formula>
    </cfRule>
    <cfRule type="expression" priority="3">
      <formula>I1&gt;=LARGE($I$2:$I$51,10)</formula>
    </cfRule>
  </conditionalFormatting>
  <conditionalFormatting sqref="I1:I51">
    <cfRule type="expression" dxfId="8" priority="1">
      <formula>I2&gt;=LARGE($I$2:$I$51,10)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61394-5FED-43BE-9333-8C219EB2D660}">
  <dimension ref="A1:M51"/>
  <sheetViews>
    <sheetView tabSelected="1" workbookViewId="0">
      <selection activeCell="O4" sqref="O4"/>
    </sheetView>
  </sheetViews>
  <sheetFormatPr defaultRowHeight="14.4" x14ac:dyDescent="0.3"/>
  <cols>
    <col min="6" max="6" width="14.88671875" customWidth="1"/>
    <col min="7" max="7" width="16.33203125" customWidth="1"/>
    <col min="8" max="8" width="15.109375" customWidth="1"/>
    <col min="10" max="10" width="16.21875" customWidth="1"/>
    <col min="11" max="11" width="19.44140625" customWidth="1"/>
    <col min="12" max="12" width="15.33203125" customWidth="1"/>
    <col min="13" max="13" width="35.33203125" customWidth="1"/>
  </cols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t="s">
        <v>207</v>
      </c>
      <c r="K1" t="s">
        <v>208</v>
      </c>
      <c r="L1" t="s">
        <v>209</v>
      </c>
      <c r="M1" t="s">
        <v>210</v>
      </c>
    </row>
    <row r="2" spans="1:13" x14ac:dyDescent="0.3">
      <c r="A2" s="2">
        <v>1</v>
      </c>
      <c r="B2" s="2" t="s">
        <v>9</v>
      </c>
      <c r="C2" s="2">
        <v>32</v>
      </c>
      <c r="D2" s="2" t="s">
        <v>10</v>
      </c>
      <c r="E2" s="2" t="s">
        <v>11</v>
      </c>
      <c r="F2" s="2" t="s">
        <v>12</v>
      </c>
      <c r="G2" s="2" t="s">
        <v>13</v>
      </c>
      <c r="H2" s="2" t="s">
        <v>14</v>
      </c>
      <c r="I2" s="2">
        <v>4553</v>
      </c>
      <c r="J2" t="str">
        <f t="shared" ref="J2:J51" si="0">IF(AND(ISBLANK(B2), ISBLANK(F2)), "Delete", "Keep")</f>
        <v>Keep</v>
      </c>
      <c r="K2" t="str">
        <f t="shared" ref="K2:K51" si="1">IF(AND(B2&lt;&gt;"", F2=""), "support@unmessenger.com", F2)</f>
        <v>john.doe@gmail.com</v>
      </c>
      <c r="L2" t="str">
        <f t="shared" ref="L2:L51" si="2">PROPER(SUBSTITUTE(SUBSTITUTE(SUBSTITUTE(SUBSTITUTE(SUBSTITUTE(SUBSTITUTE(E2,"DaTa SciENce","Data Science"),"SALES","Sales"),"OperarYION","Operations"),"Hr","HR"),"Mangement","Management"),"SLES","Sales"))</f>
        <v>Operations</v>
      </c>
      <c r="M2" t="str">
        <f t="shared" ref="M2:M33" si="3">IF(H2&lt;&gt;"", H2, "Address not Available")</f>
        <v>123 Main St, Bangalore, Karnataka, India</v>
      </c>
    </row>
    <row r="3" spans="1:13" x14ac:dyDescent="0.3">
      <c r="A3" s="2">
        <v>2</v>
      </c>
      <c r="B3" s="2" t="s">
        <v>15</v>
      </c>
      <c r="C3" s="2">
        <v>28</v>
      </c>
      <c r="D3" s="2" t="s">
        <v>16</v>
      </c>
      <c r="E3" s="2" t="s">
        <v>17</v>
      </c>
      <c r="F3" s="2" t="s">
        <v>18</v>
      </c>
      <c r="G3" s="2" t="s">
        <v>158</v>
      </c>
      <c r="H3" s="2" t="s">
        <v>20</v>
      </c>
      <c r="I3" s="2">
        <v>31169</v>
      </c>
      <c r="J3" t="str">
        <f t="shared" si="0"/>
        <v>Keep</v>
      </c>
      <c r="K3" t="str">
        <f t="shared" si="1"/>
        <v>jane.smith@hotmail.com</v>
      </c>
      <c r="L3" t="str">
        <f t="shared" si="2"/>
        <v>It Department</v>
      </c>
      <c r="M3" t="str">
        <f t="shared" si="3"/>
        <v>456 Park Ave, Mumbai, Maharashtra, India</v>
      </c>
    </row>
    <row r="4" spans="1:13" x14ac:dyDescent="0.3">
      <c r="A4" s="2">
        <v>3</v>
      </c>
      <c r="B4" s="2" t="s">
        <v>21</v>
      </c>
      <c r="C4" s="2">
        <v>27</v>
      </c>
      <c r="D4" s="2" t="s">
        <v>10</v>
      </c>
      <c r="E4" s="2" t="s">
        <v>22</v>
      </c>
      <c r="F4" s="2" t="s">
        <v>23</v>
      </c>
      <c r="G4" s="2" t="s">
        <v>159</v>
      </c>
      <c r="H4" s="2" t="s">
        <v>25</v>
      </c>
      <c r="I4" s="2">
        <v>11116</v>
      </c>
      <c r="J4" t="str">
        <f t="shared" si="0"/>
        <v>Keep</v>
      </c>
      <c r="K4" t="str">
        <f t="shared" si="1"/>
        <v>amit.patel@gmail.com</v>
      </c>
      <c r="L4" t="str">
        <f t="shared" si="2"/>
        <v>It Devlopement</v>
      </c>
      <c r="M4" t="str">
        <f t="shared" si="3"/>
        <v>789 3rd St, Kolkata, West Bengal, India</v>
      </c>
    </row>
    <row r="5" spans="1:13" x14ac:dyDescent="0.3">
      <c r="A5" s="2">
        <v>4</v>
      </c>
      <c r="B5" s="2" t="s">
        <v>26</v>
      </c>
      <c r="C5" s="2">
        <v>33</v>
      </c>
      <c r="D5" s="2" t="s">
        <v>16</v>
      </c>
      <c r="E5" s="2" t="s">
        <v>27</v>
      </c>
      <c r="F5" s="2" t="s">
        <v>28</v>
      </c>
      <c r="G5" s="2" t="s">
        <v>160</v>
      </c>
      <c r="H5" s="2" t="s">
        <v>30</v>
      </c>
      <c r="I5" s="2">
        <v>33457</v>
      </c>
      <c r="J5" t="str">
        <f t="shared" si="0"/>
        <v>Keep</v>
      </c>
      <c r="K5" t="str">
        <f t="shared" si="1"/>
        <v>priya.sharma@yahoo.com</v>
      </c>
      <c r="L5" t="str">
        <f t="shared" si="2"/>
        <v>Sales</v>
      </c>
      <c r="M5" t="str">
        <f t="shared" si="3"/>
        <v>12 4th St, New Delhi, Delhi, India</v>
      </c>
    </row>
    <row r="6" spans="1:13" x14ac:dyDescent="0.3">
      <c r="A6" s="2">
        <v>5</v>
      </c>
      <c r="B6" s="2" t="str">
        <f>IF(B2&lt;&gt;"",B2,LEFT(F2,FIND("@",F2)-1))</f>
        <v>John Doe</v>
      </c>
      <c r="C6" s="2">
        <v>29</v>
      </c>
      <c r="D6" s="2" t="s">
        <v>16</v>
      </c>
      <c r="E6" s="2" t="s">
        <v>31</v>
      </c>
      <c r="F6" s="2" t="s">
        <v>32</v>
      </c>
      <c r="G6" s="2" t="s">
        <v>161</v>
      </c>
      <c r="H6" s="2"/>
      <c r="I6" s="2">
        <v>21918</v>
      </c>
      <c r="J6" t="str">
        <f t="shared" si="0"/>
        <v>Keep</v>
      </c>
      <c r="K6" t="str">
        <f t="shared" si="1"/>
        <v>jane.doe@gmail.com</v>
      </c>
      <c r="L6" t="str">
        <f t="shared" si="2"/>
        <v>Sales</v>
      </c>
      <c r="M6" t="str">
        <f t="shared" si="3"/>
        <v>Address not Available</v>
      </c>
    </row>
    <row r="7" spans="1:13" x14ac:dyDescent="0.3">
      <c r="A7" s="2">
        <v>6</v>
      </c>
      <c r="B7" s="2" t="s">
        <v>33</v>
      </c>
      <c r="C7" s="2">
        <v>34</v>
      </c>
      <c r="D7" s="2" t="s">
        <v>10</v>
      </c>
      <c r="E7" s="2" t="s">
        <v>34</v>
      </c>
      <c r="F7" s="2" t="s">
        <v>35</v>
      </c>
      <c r="G7" s="2" t="s">
        <v>162</v>
      </c>
      <c r="H7" s="2" t="s">
        <v>36</v>
      </c>
      <c r="I7" s="2">
        <v>33418</v>
      </c>
      <c r="J7" t="str">
        <f t="shared" si="0"/>
        <v>Keep</v>
      </c>
      <c r="K7" t="str">
        <f t="shared" si="1"/>
        <v>rakesh.kumar@yahoo.com</v>
      </c>
      <c r="L7" t="str">
        <f t="shared" si="2"/>
        <v>Data Science</v>
      </c>
      <c r="M7" t="str">
        <f t="shared" si="3"/>
        <v>345 5th St, Jaipur, Rajasthan, India</v>
      </c>
    </row>
    <row r="8" spans="1:13" x14ac:dyDescent="0.3">
      <c r="A8" s="2">
        <v>7</v>
      </c>
      <c r="B8" s="2" t="s">
        <v>37</v>
      </c>
      <c r="C8" s="2">
        <v>25</v>
      </c>
      <c r="D8" s="2" t="s">
        <v>16</v>
      </c>
      <c r="E8" s="2" t="s">
        <v>22</v>
      </c>
      <c r="F8" s="2"/>
      <c r="G8" s="2" t="s">
        <v>163</v>
      </c>
      <c r="H8" s="2" t="s">
        <v>39</v>
      </c>
      <c r="I8" s="2">
        <v>45828</v>
      </c>
      <c r="J8" t="str">
        <f t="shared" si="0"/>
        <v>Keep</v>
      </c>
      <c r="K8" t="str">
        <f t="shared" si="1"/>
        <v>support@unmessenger.com</v>
      </c>
      <c r="L8" t="str">
        <f t="shared" si="2"/>
        <v>It Devlopement</v>
      </c>
      <c r="M8" t="str">
        <f t="shared" si="3"/>
        <v>678 6th St, Chennai, Tamil Nadu, India</v>
      </c>
    </row>
    <row r="9" spans="1:13" x14ac:dyDescent="0.3">
      <c r="A9" s="2">
        <v>8</v>
      </c>
      <c r="B9" s="2" t="s">
        <v>40</v>
      </c>
      <c r="C9" s="2">
        <v>31</v>
      </c>
      <c r="D9" s="2" t="s">
        <v>10</v>
      </c>
      <c r="E9" s="2" t="s">
        <v>27</v>
      </c>
      <c r="F9" s="2" t="s">
        <v>41</v>
      </c>
      <c r="G9" s="2" t="s">
        <v>164</v>
      </c>
      <c r="H9" s="2"/>
      <c r="I9" s="2">
        <v>45450</v>
      </c>
      <c r="J9" t="str">
        <f t="shared" si="0"/>
        <v>Keep</v>
      </c>
      <c r="K9" t="str">
        <f t="shared" si="1"/>
        <v>aman.verma@gmail.com</v>
      </c>
      <c r="L9" t="str">
        <f t="shared" si="2"/>
        <v>Sales</v>
      </c>
      <c r="M9" t="str">
        <f t="shared" si="3"/>
        <v>Address not Available</v>
      </c>
    </row>
    <row r="10" spans="1:13" x14ac:dyDescent="0.3">
      <c r="A10" s="2">
        <v>9</v>
      </c>
      <c r="B10" s="2" t="s">
        <v>42</v>
      </c>
      <c r="C10" s="2">
        <v>27</v>
      </c>
      <c r="D10" s="2" t="s">
        <v>16</v>
      </c>
      <c r="E10" s="2" t="s">
        <v>31</v>
      </c>
      <c r="F10" s="2" t="s">
        <v>43</v>
      </c>
      <c r="G10" s="2" t="s">
        <v>165</v>
      </c>
      <c r="H10" s="2" t="s">
        <v>44</v>
      </c>
      <c r="I10" s="2">
        <v>49938</v>
      </c>
      <c r="J10" t="str">
        <f t="shared" si="0"/>
        <v>Keep</v>
      </c>
      <c r="K10" t="str">
        <f t="shared" si="1"/>
        <v>neha.gupta@hotmail.com</v>
      </c>
      <c r="L10" t="str">
        <f t="shared" si="2"/>
        <v>Sales</v>
      </c>
      <c r="M10" t="str">
        <f t="shared" si="3"/>
        <v>901 7th St, Hyderabad, Telangana, India</v>
      </c>
    </row>
    <row r="11" spans="1:13" x14ac:dyDescent="0.3">
      <c r="A11" s="2">
        <v>10</v>
      </c>
      <c r="B11" s="2" t="str">
        <f>IF(B2&lt;&gt;"",B2,LEFT(F2,FIND("@",F2)-1))</f>
        <v>John Doe</v>
      </c>
      <c r="C11" s="2">
        <v>35</v>
      </c>
      <c r="D11" s="2" t="s">
        <v>10</v>
      </c>
      <c r="E11" s="2" t="s">
        <v>11</v>
      </c>
      <c r="F11" s="2" t="s">
        <v>45</v>
      </c>
      <c r="G11" s="2" t="s">
        <v>166</v>
      </c>
      <c r="H11" s="2" t="s">
        <v>46</v>
      </c>
      <c r="I11" s="2">
        <v>9818</v>
      </c>
      <c r="J11" t="str">
        <f t="shared" si="0"/>
        <v>Keep</v>
      </c>
      <c r="K11" t="str">
        <f t="shared" si="1"/>
        <v>naveen.sharma@gmail.com</v>
      </c>
      <c r="L11" t="str">
        <f t="shared" si="2"/>
        <v>Operations</v>
      </c>
      <c r="M11" t="str">
        <f t="shared" si="3"/>
        <v>234 8th St, Pune, Maharashtra, India</v>
      </c>
    </row>
    <row r="12" spans="1:13" x14ac:dyDescent="0.3">
      <c r="A12" s="2">
        <v>11</v>
      </c>
      <c r="B12" s="2" t="s">
        <v>47</v>
      </c>
      <c r="C12" s="2">
        <f>IF(ISBLANK(C2), AVERAGE($C$2:$C$51), C2)</f>
        <v>32</v>
      </c>
      <c r="D12" s="2" t="s">
        <v>16</v>
      </c>
      <c r="E12" s="2" t="s">
        <v>17</v>
      </c>
      <c r="F12" s="2" t="s">
        <v>48</v>
      </c>
      <c r="G12" s="2" t="s">
        <v>167</v>
      </c>
      <c r="H12" s="2" t="s">
        <v>49</v>
      </c>
      <c r="I12" s="2">
        <v>41836</v>
      </c>
      <c r="J12" t="str">
        <f t="shared" si="0"/>
        <v>Keep</v>
      </c>
      <c r="K12" t="str">
        <f t="shared" si="1"/>
        <v>vinita.kapoor@yahoo.com</v>
      </c>
      <c r="L12" t="str">
        <f t="shared" si="2"/>
        <v>It Department</v>
      </c>
      <c r="M12" t="str">
        <f t="shared" si="3"/>
        <v>567 9th St, Ahmedabad, Gujarat, India</v>
      </c>
    </row>
    <row r="13" spans="1:13" x14ac:dyDescent="0.3">
      <c r="A13" s="2">
        <v>12</v>
      </c>
      <c r="B13" s="2" t="s">
        <v>50</v>
      </c>
      <c r="C13" s="2">
        <f>IF(ISBLANK(C2), AVERAGE($C$2:$C$51), C2)</f>
        <v>32</v>
      </c>
      <c r="D13" s="2" t="s">
        <v>10</v>
      </c>
      <c r="E13" s="2" t="s">
        <v>17</v>
      </c>
      <c r="F13" s="2" t="s">
        <v>51</v>
      </c>
      <c r="G13" s="2" t="s">
        <v>168</v>
      </c>
      <c r="H13" s="2" t="s">
        <v>52</v>
      </c>
      <c r="I13" s="2">
        <v>11901</v>
      </c>
      <c r="J13" t="str">
        <f t="shared" si="0"/>
        <v>Keep</v>
      </c>
      <c r="K13" t="str">
        <f t="shared" si="1"/>
        <v>rajeev.kumar@hotmail.com</v>
      </c>
      <c r="L13" t="str">
        <f t="shared" si="2"/>
        <v>It Department</v>
      </c>
      <c r="M13" t="str">
        <f t="shared" si="3"/>
        <v>789 10th St, Bangalore, Karnataka, India</v>
      </c>
    </row>
    <row r="14" spans="1:13" x14ac:dyDescent="0.3">
      <c r="A14" s="2">
        <v>13</v>
      </c>
      <c r="B14" s="2" t="str">
        <f>IF(B2&lt;&gt;"",B2,LEFT(F2,FIND("@",F2)-1))</f>
        <v>John Doe</v>
      </c>
      <c r="C14" s="2">
        <v>26</v>
      </c>
      <c r="D14" s="2" t="s">
        <v>10</v>
      </c>
      <c r="E14" s="2" t="s">
        <v>53</v>
      </c>
      <c r="F14" s="2"/>
      <c r="G14" s="2" t="s">
        <v>169</v>
      </c>
      <c r="H14" s="2" t="s">
        <v>54</v>
      </c>
      <c r="I14" s="2">
        <v>46236</v>
      </c>
      <c r="J14" t="str">
        <f t="shared" si="0"/>
        <v>Keep</v>
      </c>
      <c r="K14" t="str">
        <f t="shared" si="1"/>
        <v>support@unmessenger.com</v>
      </c>
      <c r="L14" t="str">
        <f t="shared" si="2"/>
        <v>Sales</v>
      </c>
      <c r="M14" t="str">
        <f>IF(H14&lt;&gt;"", H14, "Address not Available")</f>
        <v>321 11th St, Mumbai, Maharashtra, India</v>
      </c>
    </row>
    <row r="15" spans="1:13" x14ac:dyDescent="0.3">
      <c r="A15" s="2">
        <v>14</v>
      </c>
      <c r="B15" s="2"/>
      <c r="C15" s="2">
        <v>28</v>
      </c>
      <c r="D15" s="2" t="s">
        <v>16</v>
      </c>
      <c r="E15" s="2" t="s">
        <v>56</v>
      </c>
      <c r="F15" s="2" t="s">
        <v>57</v>
      </c>
      <c r="G15" s="2" t="s">
        <v>170</v>
      </c>
      <c r="H15" s="2" t="s">
        <v>58</v>
      </c>
      <c r="I15" s="2">
        <v>21978</v>
      </c>
      <c r="J15" t="str">
        <f t="shared" si="0"/>
        <v>Keep</v>
      </c>
      <c r="K15" t="str">
        <f t="shared" si="1"/>
        <v>swati.singh@gmail.com</v>
      </c>
      <c r="L15" t="str">
        <f t="shared" si="2"/>
        <v>Hr</v>
      </c>
      <c r="M15" t="str">
        <f t="shared" si="3"/>
        <v>654 12th St, Kolkata, West Bengal, India</v>
      </c>
    </row>
    <row r="16" spans="1:13" x14ac:dyDescent="0.3">
      <c r="A16" s="2">
        <v>15</v>
      </c>
      <c r="B16" s="2"/>
      <c r="C16" s="2">
        <v>30</v>
      </c>
      <c r="D16" s="2" t="s">
        <v>16</v>
      </c>
      <c r="E16" s="2" t="s">
        <v>59</v>
      </c>
      <c r="F16" s="2" t="s">
        <v>60</v>
      </c>
      <c r="G16" s="2" t="s">
        <v>171</v>
      </c>
      <c r="H16" s="2"/>
      <c r="I16" s="2">
        <v>49400</v>
      </c>
      <c r="J16" t="str">
        <f t="shared" si="0"/>
        <v>Keep</v>
      </c>
      <c r="K16" t="str">
        <f t="shared" si="1"/>
        <v>kavita.sharma@yahoo.com</v>
      </c>
      <c r="L16" t="str">
        <f t="shared" si="2"/>
        <v>Finance/Accounts</v>
      </c>
      <c r="M16" t="str">
        <f t="shared" si="3"/>
        <v>Address not Available</v>
      </c>
    </row>
    <row r="17" spans="1:13" x14ac:dyDescent="0.3">
      <c r="A17" s="2">
        <v>16</v>
      </c>
      <c r="B17" s="2" t="s">
        <v>61</v>
      </c>
      <c r="C17" s="2">
        <v>32</v>
      </c>
      <c r="D17" s="2" t="s">
        <v>10</v>
      </c>
      <c r="E17" s="2" t="s">
        <v>62</v>
      </c>
      <c r="F17" s="2" t="s">
        <v>63</v>
      </c>
      <c r="G17" s="2" t="s">
        <v>172</v>
      </c>
      <c r="H17" s="2" t="s">
        <v>64</v>
      </c>
      <c r="I17" s="2">
        <v>28476</v>
      </c>
      <c r="J17" t="str">
        <f t="shared" si="0"/>
        <v>Keep</v>
      </c>
      <c r="K17" t="str">
        <f t="shared" si="1"/>
        <v>manish.patel@hotmail.com</v>
      </c>
      <c r="L17" t="str">
        <f t="shared" si="2"/>
        <v>Management</v>
      </c>
      <c r="M17" t="str">
        <f t="shared" si="3"/>
        <v>987 13th St, New Delhi, Delhi, India</v>
      </c>
    </row>
    <row r="18" spans="1:13" x14ac:dyDescent="0.3">
      <c r="A18" s="2">
        <v>17</v>
      </c>
      <c r="B18" s="2" t="s">
        <v>65</v>
      </c>
      <c r="C18" s="2">
        <v>26</v>
      </c>
      <c r="D18" s="2" t="s">
        <v>16</v>
      </c>
      <c r="E18" s="2" t="s">
        <v>66</v>
      </c>
      <c r="F18" s="2" t="s">
        <v>67</v>
      </c>
      <c r="G18" s="2" t="s">
        <v>173</v>
      </c>
      <c r="H18" s="2"/>
      <c r="I18" s="2">
        <v>40088</v>
      </c>
      <c r="J18" t="str">
        <f t="shared" si="0"/>
        <v>Keep</v>
      </c>
      <c r="K18" t="str">
        <f t="shared" si="1"/>
        <v>priyanka.jain@yahoo.com</v>
      </c>
      <c r="L18" t="str">
        <f t="shared" si="2"/>
        <v>Data Science</v>
      </c>
      <c r="M18" t="str">
        <f t="shared" si="3"/>
        <v>Address not Available</v>
      </c>
    </row>
    <row r="19" spans="1:13" x14ac:dyDescent="0.3">
      <c r="A19" s="2">
        <v>18</v>
      </c>
      <c r="B19" s="2" t="s">
        <v>68</v>
      </c>
      <c r="C19" s="2">
        <v>28</v>
      </c>
      <c r="D19" s="2" t="s">
        <v>10</v>
      </c>
      <c r="E19" s="2" t="s">
        <v>34</v>
      </c>
      <c r="F19" s="2" t="s">
        <v>69</v>
      </c>
      <c r="G19" s="2" t="s">
        <v>174</v>
      </c>
      <c r="H19" s="2" t="s">
        <v>70</v>
      </c>
      <c r="I19" s="2">
        <v>2949</v>
      </c>
      <c r="J19" t="str">
        <f t="shared" si="0"/>
        <v>Keep</v>
      </c>
      <c r="K19" t="str">
        <f t="shared" si="1"/>
        <v>rohit.sharma@gmail.com</v>
      </c>
      <c r="L19" t="str">
        <f t="shared" si="2"/>
        <v>Data Science</v>
      </c>
      <c r="M19" t="str">
        <f t="shared" si="3"/>
        <v>654 14th St, Jaipur, Rajasthan, India</v>
      </c>
    </row>
    <row r="20" spans="1:13" x14ac:dyDescent="0.3">
      <c r="A20" s="2">
        <v>19</v>
      </c>
      <c r="B20" s="2" t="s">
        <v>71</v>
      </c>
      <c r="C20" s="2">
        <v>30</v>
      </c>
      <c r="D20" s="2" t="s">
        <v>16</v>
      </c>
      <c r="E20" s="2" t="s">
        <v>34</v>
      </c>
      <c r="F20" s="2" t="s">
        <v>72</v>
      </c>
      <c r="G20" s="2" t="s">
        <v>175</v>
      </c>
      <c r="H20" s="2" t="s">
        <v>73</v>
      </c>
      <c r="I20" s="2">
        <v>3337</v>
      </c>
      <c r="J20" t="str">
        <f t="shared" si="0"/>
        <v>Keep</v>
      </c>
      <c r="K20" t="str">
        <f t="shared" si="1"/>
        <v>deepika.singh@yahoo.com</v>
      </c>
      <c r="L20" t="str">
        <f t="shared" si="2"/>
        <v>Data Science</v>
      </c>
      <c r="M20" t="str">
        <f t="shared" si="3"/>
        <v>321 15th St, Chennai, Tamil Nadu, India</v>
      </c>
    </row>
    <row r="21" spans="1:13" x14ac:dyDescent="0.3">
      <c r="A21" s="2">
        <v>20</v>
      </c>
      <c r="B21" s="2"/>
      <c r="C21" s="2">
        <v>32</v>
      </c>
      <c r="D21" s="2" t="s">
        <v>10</v>
      </c>
      <c r="E21" s="2" t="s">
        <v>59</v>
      </c>
      <c r="F21" s="2" t="s">
        <v>74</v>
      </c>
      <c r="G21" s="2" t="s">
        <v>176</v>
      </c>
      <c r="H21" s="2"/>
      <c r="I21" s="2">
        <v>2857</v>
      </c>
      <c r="J21" t="str">
        <f t="shared" si="0"/>
        <v>Keep</v>
      </c>
      <c r="K21" t="str">
        <f t="shared" si="1"/>
        <v>vikas.joshi@gmail.com</v>
      </c>
      <c r="L21" t="str">
        <f t="shared" si="2"/>
        <v>Finance/Accounts</v>
      </c>
      <c r="M21" t="str">
        <f t="shared" si="3"/>
        <v>Address not Available</v>
      </c>
    </row>
    <row r="22" spans="1:13" x14ac:dyDescent="0.3">
      <c r="A22" s="2">
        <v>21</v>
      </c>
      <c r="B22" s="2" t="s">
        <v>75</v>
      </c>
      <c r="C22" s="2">
        <v>26</v>
      </c>
      <c r="D22" s="2" t="s">
        <v>16</v>
      </c>
      <c r="E22" s="2" t="s">
        <v>62</v>
      </c>
      <c r="F22" s="2" t="s">
        <v>76</v>
      </c>
      <c r="G22" s="2" t="s">
        <v>177</v>
      </c>
      <c r="H22" s="2" t="s">
        <v>77</v>
      </c>
      <c r="I22" s="2">
        <v>35969</v>
      </c>
      <c r="J22" t="str">
        <f t="shared" si="0"/>
        <v>Keep</v>
      </c>
      <c r="K22" t="str">
        <f t="shared" si="1"/>
        <v>nisha.verma@hotmail.com</v>
      </c>
      <c r="L22" t="str">
        <f t="shared" si="2"/>
        <v>Management</v>
      </c>
      <c r="M22" t="str">
        <f t="shared" si="3"/>
        <v>789 16th St, Hyderabad, Telangana, India</v>
      </c>
    </row>
    <row r="23" spans="1:13" x14ac:dyDescent="0.3">
      <c r="A23" s="2">
        <v>22</v>
      </c>
      <c r="B23" s="2" t="s">
        <v>78</v>
      </c>
      <c r="C23" s="2">
        <v>33</v>
      </c>
      <c r="D23" s="2" t="s">
        <v>10</v>
      </c>
      <c r="E23" s="2" t="s">
        <v>66</v>
      </c>
      <c r="F23" s="2" t="s">
        <v>79</v>
      </c>
      <c r="G23" s="2" t="s">
        <v>178</v>
      </c>
      <c r="H23" s="2" t="s">
        <v>80</v>
      </c>
      <c r="I23" s="2">
        <v>49681</v>
      </c>
      <c r="J23" t="str">
        <f t="shared" si="0"/>
        <v>Keep</v>
      </c>
      <c r="K23" t="str">
        <f t="shared" si="1"/>
        <v>manoj.kumar@yahoo.com</v>
      </c>
      <c r="L23" t="str">
        <f t="shared" si="2"/>
        <v>Data Science</v>
      </c>
      <c r="M23" t="str">
        <f t="shared" si="3"/>
        <v>901 17th St, Pune, Maharashtra, India</v>
      </c>
    </row>
    <row r="24" spans="1:13" x14ac:dyDescent="0.3">
      <c r="A24" s="2">
        <v>23</v>
      </c>
      <c r="B24" s="2"/>
      <c r="C24" s="2">
        <v>27</v>
      </c>
      <c r="D24" s="2" t="s">
        <v>16</v>
      </c>
      <c r="E24" s="2" t="s">
        <v>34</v>
      </c>
      <c r="F24" s="2"/>
      <c r="G24" s="2" t="s">
        <v>179</v>
      </c>
      <c r="H24" s="2" t="s">
        <v>81</v>
      </c>
      <c r="I24" s="2">
        <v>45102</v>
      </c>
      <c r="J24" t="str">
        <f t="shared" si="0"/>
        <v>Delete</v>
      </c>
      <c r="K24">
        <f t="shared" si="1"/>
        <v>0</v>
      </c>
      <c r="L24" t="str">
        <f t="shared" si="2"/>
        <v>Data Science</v>
      </c>
      <c r="M24" t="str">
        <f t="shared" si="3"/>
        <v>234 18th St, Ahmedabad, Gujarat, India</v>
      </c>
    </row>
    <row r="25" spans="1:13" x14ac:dyDescent="0.3">
      <c r="A25" s="2">
        <v>24</v>
      </c>
      <c r="B25" s="2" t="s">
        <v>82</v>
      </c>
      <c r="C25" s="2">
        <v>29</v>
      </c>
      <c r="D25" s="2" t="s">
        <v>10</v>
      </c>
      <c r="E25" s="2" t="s">
        <v>11</v>
      </c>
      <c r="F25" s="2" t="s">
        <v>83</v>
      </c>
      <c r="G25" s="2" t="s">
        <v>180</v>
      </c>
      <c r="H25" s="2"/>
      <c r="I25" s="2">
        <v>15853</v>
      </c>
      <c r="J25" t="str">
        <f t="shared" si="0"/>
        <v>Keep</v>
      </c>
      <c r="K25" t="str">
        <f t="shared" si="1"/>
        <v>sanjay.gupta@gmail.com</v>
      </c>
      <c r="L25" t="str">
        <f t="shared" si="2"/>
        <v>Operations</v>
      </c>
      <c r="M25" t="str">
        <f t="shared" si="3"/>
        <v>Address not Available</v>
      </c>
    </row>
    <row r="26" spans="1:13" x14ac:dyDescent="0.3">
      <c r="A26" s="2">
        <v>25</v>
      </c>
      <c r="B26" s="2" t="s">
        <v>85</v>
      </c>
      <c r="C26" s="2"/>
      <c r="D26" s="2" t="s">
        <v>16</v>
      </c>
      <c r="E26" s="2" t="s">
        <v>17</v>
      </c>
      <c r="F26" s="2" t="s">
        <v>86</v>
      </c>
      <c r="G26" s="2" t="s">
        <v>181</v>
      </c>
      <c r="H26" s="2" t="s">
        <v>87</v>
      </c>
      <c r="I26" s="2">
        <v>6926</v>
      </c>
      <c r="J26" t="str">
        <f t="shared" si="0"/>
        <v>Keep</v>
      </c>
      <c r="K26" t="str">
        <f t="shared" si="1"/>
        <v>anjali.sharma@yahoo.com</v>
      </c>
      <c r="L26" t="str">
        <f t="shared" si="2"/>
        <v>It Department</v>
      </c>
      <c r="M26" t="str">
        <f t="shared" si="3"/>
        <v>567 19th St, Bangalore, Karnataka, India</v>
      </c>
    </row>
    <row r="27" spans="1:13" x14ac:dyDescent="0.3">
      <c r="A27" s="2">
        <v>26</v>
      </c>
      <c r="B27" s="2" t="s">
        <v>88</v>
      </c>
      <c r="C27" s="2">
        <v>31</v>
      </c>
      <c r="D27" s="2" t="s">
        <v>10</v>
      </c>
      <c r="E27" s="2" t="s">
        <v>59</v>
      </c>
      <c r="F27" s="2" t="s">
        <v>89</v>
      </c>
      <c r="G27" s="2" t="s">
        <v>182</v>
      </c>
      <c r="H27" s="2" t="s">
        <v>90</v>
      </c>
      <c r="I27" s="2">
        <v>45678</v>
      </c>
      <c r="J27" t="str">
        <f t="shared" si="0"/>
        <v>Keep</v>
      </c>
      <c r="K27" t="str">
        <f t="shared" si="1"/>
        <v>akash.patel@hotmail.com</v>
      </c>
      <c r="L27" t="str">
        <f t="shared" si="2"/>
        <v>Finance/Accounts</v>
      </c>
      <c r="M27" t="str">
        <f t="shared" si="3"/>
        <v>789 20th St, Mumbai, Maharashtra, India</v>
      </c>
    </row>
    <row r="28" spans="1:13" x14ac:dyDescent="0.3">
      <c r="A28" s="2">
        <v>27</v>
      </c>
      <c r="B28" s="2" t="s">
        <v>91</v>
      </c>
      <c r="C28" s="2">
        <v>28</v>
      </c>
      <c r="D28" s="2" t="s">
        <v>16</v>
      </c>
      <c r="E28" s="2" t="s">
        <v>62</v>
      </c>
      <c r="F28" s="2" t="s">
        <v>92</v>
      </c>
      <c r="G28" s="2" t="s">
        <v>183</v>
      </c>
      <c r="H28" s="2" t="s">
        <v>93</v>
      </c>
      <c r="I28" s="2">
        <v>8022</v>
      </c>
      <c r="J28" t="str">
        <f t="shared" si="0"/>
        <v>Keep</v>
      </c>
      <c r="K28" t="str">
        <f t="shared" si="1"/>
        <v>preeti.singh@gmail.com</v>
      </c>
      <c r="L28" t="str">
        <f t="shared" si="2"/>
        <v>Management</v>
      </c>
      <c r="M28" t="str">
        <f t="shared" si="3"/>
        <v>321 21st St, Kolkata, West Bengal, India</v>
      </c>
    </row>
    <row r="29" spans="1:13" x14ac:dyDescent="0.3">
      <c r="A29" s="2">
        <v>28</v>
      </c>
      <c r="B29" s="2" t="s">
        <v>94</v>
      </c>
      <c r="C29" s="2">
        <v>34</v>
      </c>
      <c r="D29" s="2" t="s">
        <v>10</v>
      </c>
      <c r="E29" s="2" t="s">
        <v>66</v>
      </c>
      <c r="F29" s="2" t="s">
        <v>95</v>
      </c>
      <c r="G29" s="2" t="s">
        <v>184</v>
      </c>
      <c r="H29" s="2" t="s">
        <v>96</v>
      </c>
      <c r="I29" s="2">
        <v>3484</v>
      </c>
      <c r="J29" t="str">
        <f t="shared" si="0"/>
        <v>Keep</v>
      </c>
      <c r="K29" t="str">
        <f t="shared" si="1"/>
        <v>ravi.kumar@gmail.com</v>
      </c>
      <c r="L29" t="str">
        <f t="shared" si="2"/>
        <v>Data Science</v>
      </c>
      <c r="M29" t="str">
        <f t="shared" si="3"/>
        <v>901 22nd St, Patna, Bihar, India</v>
      </c>
    </row>
    <row r="30" spans="1:13" x14ac:dyDescent="0.3">
      <c r="A30" s="2">
        <v>29</v>
      </c>
      <c r="B30" s="2" t="s">
        <v>97</v>
      </c>
      <c r="C30" s="2">
        <v>26</v>
      </c>
      <c r="D30" s="2" t="s">
        <v>16</v>
      </c>
      <c r="E30" s="2" t="s">
        <v>22</v>
      </c>
      <c r="F30" s="2" t="s">
        <v>98</v>
      </c>
      <c r="G30" s="2" t="s">
        <v>185</v>
      </c>
      <c r="H30" s="2" t="s">
        <v>99</v>
      </c>
      <c r="I30" s="2">
        <v>11342</v>
      </c>
      <c r="J30" t="str">
        <f t="shared" si="0"/>
        <v>Keep</v>
      </c>
      <c r="K30" t="str">
        <f t="shared" si="1"/>
        <v>swati.mishra@yahoo.com</v>
      </c>
      <c r="L30" t="str">
        <f t="shared" si="2"/>
        <v>It Devlopement</v>
      </c>
      <c r="M30" t="str">
        <f t="shared" si="3"/>
        <v>234 23rd St, Bhopal, Madhya Pradesh, India</v>
      </c>
    </row>
    <row r="31" spans="1:13" x14ac:dyDescent="0.3">
      <c r="A31" s="2">
        <v>30</v>
      </c>
      <c r="B31" s="2"/>
      <c r="C31" s="2">
        <v>29</v>
      </c>
      <c r="D31" s="2" t="s">
        <v>10</v>
      </c>
      <c r="E31" s="2" t="s">
        <v>27</v>
      </c>
      <c r="F31" s="2" t="s">
        <v>100</v>
      </c>
      <c r="G31" s="2" t="s">
        <v>186</v>
      </c>
      <c r="H31" s="2" t="s">
        <v>101</v>
      </c>
      <c r="I31" s="2">
        <v>40940</v>
      </c>
      <c r="J31" t="str">
        <f t="shared" si="0"/>
        <v>Keep</v>
      </c>
      <c r="K31" t="str">
        <f t="shared" si="1"/>
        <v>ankit.singh@hotmail.com</v>
      </c>
      <c r="L31" t="str">
        <f t="shared" si="2"/>
        <v>Sales</v>
      </c>
      <c r="M31" t="str">
        <f t="shared" si="3"/>
        <v>567 24th St, Lucknow, Uttar Pradesh, India</v>
      </c>
    </row>
    <row r="32" spans="1:13" x14ac:dyDescent="0.3">
      <c r="A32" s="2">
        <v>31</v>
      </c>
      <c r="B32" s="2" t="s">
        <v>42</v>
      </c>
      <c r="C32" s="2">
        <v>27</v>
      </c>
      <c r="D32" s="2" t="s">
        <v>16</v>
      </c>
      <c r="E32" s="2" t="s">
        <v>31</v>
      </c>
      <c r="F32" s="2" t="s">
        <v>102</v>
      </c>
      <c r="G32" s="2" t="s">
        <v>187</v>
      </c>
      <c r="H32" s="2"/>
      <c r="I32" s="2">
        <v>41841</v>
      </c>
      <c r="J32" t="str">
        <f t="shared" si="0"/>
        <v>Keep</v>
      </c>
      <c r="K32" t="str">
        <f t="shared" si="1"/>
        <v>neha.gupta@gmail.com</v>
      </c>
      <c r="L32" t="str">
        <f t="shared" si="2"/>
        <v>Sales</v>
      </c>
      <c r="M32" t="str">
        <f t="shared" si="3"/>
        <v>Address not Available</v>
      </c>
    </row>
    <row r="33" spans="1:13" x14ac:dyDescent="0.3">
      <c r="A33" s="2">
        <v>32</v>
      </c>
      <c r="B33" s="2" t="s">
        <v>103</v>
      </c>
      <c r="C33" s="2">
        <v>32</v>
      </c>
      <c r="D33" s="2" t="s">
        <v>10</v>
      </c>
      <c r="E33" s="2" t="s">
        <v>59</v>
      </c>
      <c r="F33" s="2" t="s">
        <v>104</v>
      </c>
      <c r="G33" s="2" t="s">
        <v>188</v>
      </c>
      <c r="H33" s="2" t="s">
        <v>105</v>
      </c>
      <c r="I33" s="2">
        <v>39835</v>
      </c>
      <c r="J33" t="str">
        <f t="shared" si="0"/>
        <v>Keep</v>
      </c>
      <c r="K33" t="str">
        <f t="shared" si="1"/>
        <v>rajeev.sharma@yahoo.com</v>
      </c>
      <c r="L33" t="str">
        <f t="shared" si="2"/>
        <v>Finance/Accounts</v>
      </c>
      <c r="M33" t="str">
        <f t="shared" si="3"/>
        <v>789 25th St, Jaipur, Rajasthan, India</v>
      </c>
    </row>
    <row r="34" spans="1:13" x14ac:dyDescent="0.3">
      <c r="A34" s="2">
        <v>33</v>
      </c>
      <c r="B34" s="2"/>
      <c r="C34" s="2">
        <v>33</v>
      </c>
      <c r="D34" s="2" t="s">
        <v>16</v>
      </c>
      <c r="E34" s="2" t="s">
        <v>62</v>
      </c>
      <c r="F34" s="2" t="s">
        <v>106</v>
      </c>
      <c r="G34" s="2" t="s">
        <v>189</v>
      </c>
      <c r="H34" s="2" t="s">
        <v>107</v>
      </c>
      <c r="I34" s="2">
        <v>9577</v>
      </c>
      <c r="J34" t="str">
        <f t="shared" si="0"/>
        <v>Keep</v>
      </c>
      <c r="K34" t="str">
        <f t="shared" si="1"/>
        <v>sarika.patel@hotmail.com</v>
      </c>
      <c r="L34" t="str">
        <f t="shared" si="2"/>
        <v>Management</v>
      </c>
      <c r="M34" t="str">
        <f t="shared" ref="M34:M51" si="4">IF(H34&lt;&gt;"", H34, "Address not Available")</f>
        <v>654 26th St, Chennai, Tamil Nadu, India</v>
      </c>
    </row>
    <row r="35" spans="1:13" x14ac:dyDescent="0.3">
      <c r="A35" s="2">
        <v>34</v>
      </c>
      <c r="B35" s="2" t="s">
        <v>108</v>
      </c>
      <c r="C35" s="2">
        <v>30</v>
      </c>
      <c r="D35" s="2" t="s">
        <v>10</v>
      </c>
      <c r="E35" s="2" t="s">
        <v>66</v>
      </c>
      <c r="F35" s="2" t="s">
        <v>109</v>
      </c>
      <c r="G35" s="2" t="s">
        <v>190</v>
      </c>
      <c r="H35" s="2" t="s">
        <v>110</v>
      </c>
      <c r="I35" s="2">
        <v>29480</v>
      </c>
      <c r="J35" t="str">
        <f t="shared" si="0"/>
        <v>Keep</v>
      </c>
      <c r="K35" t="str">
        <f t="shared" si="1"/>
        <v>vinay.singh@gmail.com</v>
      </c>
      <c r="L35" t="str">
        <f t="shared" si="2"/>
        <v>Data Science</v>
      </c>
      <c r="M35" t="str">
        <f t="shared" si="4"/>
        <v>321 27th St, Hyderabad, Telangana, India</v>
      </c>
    </row>
    <row r="36" spans="1:13" x14ac:dyDescent="0.3">
      <c r="A36" s="2">
        <v>35</v>
      </c>
      <c r="B36" s="2" t="s">
        <v>111</v>
      </c>
      <c r="C36" s="2"/>
      <c r="D36" s="2" t="s">
        <v>16</v>
      </c>
      <c r="E36" s="2" t="s">
        <v>22</v>
      </c>
      <c r="F36" s="2" t="s">
        <v>112</v>
      </c>
      <c r="G36" s="2" t="s">
        <v>191</v>
      </c>
      <c r="H36" s="2" t="s">
        <v>113</v>
      </c>
      <c r="I36" s="2">
        <v>14254</v>
      </c>
      <c r="J36" t="str">
        <f t="shared" si="0"/>
        <v>Keep</v>
      </c>
      <c r="K36" t="str">
        <f t="shared" si="1"/>
        <v>priya.gupta@yahoo.com</v>
      </c>
      <c r="L36" t="str">
        <f t="shared" si="2"/>
        <v>It Devlopement</v>
      </c>
      <c r="M36" t="str">
        <f t="shared" si="4"/>
        <v>901 28th St, Pune, Maharashtra, India</v>
      </c>
    </row>
    <row r="37" spans="1:13" x14ac:dyDescent="0.3">
      <c r="A37" s="2">
        <v>36</v>
      </c>
      <c r="B37" s="2" t="s">
        <v>114</v>
      </c>
      <c r="C37" s="2">
        <v>29</v>
      </c>
      <c r="D37" s="2" t="s">
        <v>10</v>
      </c>
      <c r="E37" s="2" t="s">
        <v>27</v>
      </c>
      <c r="F37" s="2" t="s">
        <v>115</v>
      </c>
      <c r="G37" s="2" t="s">
        <v>192</v>
      </c>
      <c r="H37" s="2" t="s">
        <v>116</v>
      </c>
      <c r="I37" s="2">
        <v>37358</v>
      </c>
      <c r="J37" t="str">
        <f t="shared" si="0"/>
        <v>Keep</v>
      </c>
      <c r="K37" t="str">
        <f t="shared" si="1"/>
        <v>sushant.patel@hotmail.com</v>
      </c>
      <c r="L37" t="str">
        <f t="shared" si="2"/>
        <v>Sales</v>
      </c>
      <c r="M37" t="str">
        <f t="shared" si="4"/>
        <v>567 29th St, Ahmedabad, Gujarat, India</v>
      </c>
    </row>
    <row r="38" spans="1:13" x14ac:dyDescent="0.3">
      <c r="A38" s="2">
        <v>37</v>
      </c>
      <c r="B38" s="2"/>
      <c r="C38" s="2">
        <v>31</v>
      </c>
      <c r="D38" s="2" t="s">
        <v>16</v>
      </c>
      <c r="E38" s="2" t="s">
        <v>31</v>
      </c>
      <c r="F38" s="2" t="s">
        <v>117</v>
      </c>
      <c r="G38" s="2" t="s">
        <v>193</v>
      </c>
      <c r="H38" s="2" t="s">
        <v>118</v>
      </c>
      <c r="I38" s="2">
        <v>48367</v>
      </c>
      <c r="J38" t="str">
        <f t="shared" si="0"/>
        <v>Keep</v>
      </c>
      <c r="K38" t="str">
        <f t="shared" si="1"/>
        <v>payal.sharma@gmail.com</v>
      </c>
      <c r="L38" t="str">
        <f t="shared" si="2"/>
        <v>Sales</v>
      </c>
      <c r="M38" t="str">
        <f t="shared" si="4"/>
        <v>234 30th St, Bangalore, Karnataka, India</v>
      </c>
    </row>
    <row r="39" spans="1:13" x14ac:dyDescent="0.3">
      <c r="A39" s="2">
        <v>38</v>
      </c>
      <c r="B39" s="2" t="s">
        <v>119</v>
      </c>
      <c r="C39" s="2">
        <v>28</v>
      </c>
      <c r="D39" s="2" t="s">
        <v>10</v>
      </c>
      <c r="E39" s="2" t="s">
        <v>120</v>
      </c>
      <c r="F39" s="2" t="s">
        <v>121</v>
      </c>
      <c r="G39" s="2" t="s">
        <v>194</v>
      </c>
      <c r="H39" s="2" t="s">
        <v>122</v>
      </c>
      <c r="I39" s="2">
        <v>37473</v>
      </c>
      <c r="J39" t="str">
        <f t="shared" si="0"/>
        <v>Keep</v>
      </c>
      <c r="K39" t="str">
        <f t="shared" si="1"/>
        <v>mohit.verma@yahoo.com</v>
      </c>
      <c r="L39" t="str">
        <f t="shared" si="2"/>
        <v>Hr</v>
      </c>
      <c r="M39" t="str">
        <f t="shared" si="4"/>
        <v>789 31st St, Mumbai, Maharashtra, India</v>
      </c>
    </row>
    <row r="40" spans="1:13" x14ac:dyDescent="0.3">
      <c r="A40" s="2">
        <v>39</v>
      </c>
      <c r="B40" s="2" t="s">
        <v>123</v>
      </c>
      <c r="C40" s="2">
        <v>33</v>
      </c>
      <c r="D40" s="2" t="s">
        <v>16</v>
      </c>
      <c r="E40" s="2" t="s">
        <v>124</v>
      </c>
      <c r="F40" s="2" t="s">
        <v>125</v>
      </c>
      <c r="G40" s="2" t="s">
        <v>195</v>
      </c>
      <c r="H40" s="2" t="s">
        <v>126</v>
      </c>
      <c r="I40" s="2">
        <v>30628</v>
      </c>
      <c r="J40" t="str">
        <f t="shared" si="0"/>
        <v>Keep</v>
      </c>
      <c r="K40" t="str">
        <f t="shared" si="1"/>
        <v>kavita.singh@hotmail.com</v>
      </c>
      <c r="L40" t="str">
        <f t="shared" si="2"/>
        <v>Hr</v>
      </c>
      <c r="M40" t="str">
        <f t="shared" si="4"/>
        <v>901 32nd St, Kolkata, West Bengal, India</v>
      </c>
    </row>
    <row r="41" spans="1:13" x14ac:dyDescent="0.3">
      <c r="A41" s="2">
        <v>40</v>
      </c>
      <c r="B41" s="2" t="s">
        <v>127</v>
      </c>
      <c r="C41" s="2">
        <v>30</v>
      </c>
      <c r="D41" s="2" t="s">
        <v>10</v>
      </c>
      <c r="E41" s="2" t="s">
        <v>128</v>
      </c>
      <c r="F41" s="2" t="s">
        <v>129</v>
      </c>
      <c r="G41" s="2" t="s">
        <v>196</v>
      </c>
      <c r="H41" s="2" t="s">
        <v>130</v>
      </c>
      <c r="I41" s="2">
        <v>22018</v>
      </c>
      <c r="J41" t="str">
        <f t="shared" si="0"/>
        <v>Keep</v>
      </c>
      <c r="K41" t="str">
        <f t="shared" si="1"/>
        <v>ankit.patel@gmail.com</v>
      </c>
      <c r="L41" t="str">
        <f t="shared" si="2"/>
        <v>Operations</v>
      </c>
      <c r="M41" t="str">
        <f t="shared" si="4"/>
        <v>321 33rd St, Patna, Bihar, India</v>
      </c>
    </row>
    <row r="42" spans="1:13" x14ac:dyDescent="0.3">
      <c r="A42" s="2">
        <v>41</v>
      </c>
      <c r="B42" s="2" t="s">
        <v>131</v>
      </c>
      <c r="C42" s="2">
        <v>27</v>
      </c>
      <c r="D42" s="2" t="s">
        <v>16</v>
      </c>
      <c r="E42" s="2" t="s">
        <v>34</v>
      </c>
      <c r="F42" s="2" t="s">
        <v>132</v>
      </c>
      <c r="G42" s="2" t="s">
        <v>197</v>
      </c>
      <c r="H42" s="2" t="s">
        <v>133</v>
      </c>
      <c r="I42" s="2">
        <v>35747</v>
      </c>
      <c r="J42" t="str">
        <f t="shared" si="0"/>
        <v>Keep</v>
      </c>
      <c r="K42" t="str">
        <f t="shared" si="1"/>
        <v>pooja.mishra@yahoo.com</v>
      </c>
      <c r="L42" t="str">
        <f t="shared" si="2"/>
        <v>Data Science</v>
      </c>
      <c r="M42" t="str">
        <f t="shared" si="4"/>
        <v>234 34th St, Bhopal, Madhya Pradesh, India</v>
      </c>
    </row>
    <row r="43" spans="1:13" x14ac:dyDescent="0.3">
      <c r="A43" s="2">
        <v>42</v>
      </c>
      <c r="B43" s="2" t="s">
        <v>134</v>
      </c>
      <c r="C43" s="2">
        <v>29</v>
      </c>
      <c r="D43" s="2" t="s">
        <v>10</v>
      </c>
      <c r="E43" s="2" t="s">
        <v>31</v>
      </c>
      <c r="F43" s="2" t="s">
        <v>135</v>
      </c>
      <c r="G43" s="2" t="s">
        <v>198</v>
      </c>
      <c r="H43" s="2" t="s">
        <v>136</v>
      </c>
      <c r="I43" s="2">
        <v>32258</v>
      </c>
      <c r="J43" t="str">
        <f t="shared" si="0"/>
        <v>Keep</v>
      </c>
      <c r="K43" t="str">
        <f t="shared" si="1"/>
        <v>mohan.kumar@gmail.com</v>
      </c>
      <c r="L43" t="str">
        <f t="shared" si="2"/>
        <v>Sales</v>
      </c>
      <c r="M43" t="str">
        <f t="shared" si="4"/>
        <v>567 35th St, Lucknow, Uttar Pradesh, India</v>
      </c>
    </row>
    <row r="44" spans="1:13" x14ac:dyDescent="0.3">
      <c r="A44" s="2">
        <v>43</v>
      </c>
      <c r="B44" s="2" t="s">
        <v>137</v>
      </c>
      <c r="C44" s="2">
        <v>26</v>
      </c>
      <c r="D44" s="2" t="s">
        <v>16</v>
      </c>
      <c r="E44" s="2" t="s">
        <v>59</v>
      </c>
      <c r="F44" s="2" t="s">
        <v>138</v>
      </c>
      <c r="G44" s="2" t="s">
        <v>199</v>
      </c>
      <c r="H44" s="2" t="s">
        <v>139</v>
      </c>
      <c r="I44" s="2">
        <v>31047</v>
      </c>
      <c r="J44" t="str">
        <f t="shared" si="0"/>
        <v>Keep</v>
      </c>
      <c r="K44" t="str">
        <f t="shared" si="1"/>
        <v>anjali.gupta@hotmail.com</v>
      </c>
      <c r="L44" t="str">
        <f t="shared" si="2"/>
        <v>Finance/Accounts</v>
      </c>
      <c r="M44" t="str">
        <f t="shared" si="4"/>
        <v>654 36th St, Jaipur, Rajasthan, India</v>
      </c>
    </row>
    <row r="45" spans="1:13" x14ac:dyDescent="0.3">
      <c r="A45" s="2">
        <v>44</v>
      </c>
      <c r="B45" s="2"/>
      <c r="C45" s="2">
        <v>28</v>
      </c>
      <c r="D45" s="2" t="s">
        <v>10</v>
      </c>
      <c r="E45" s="2" t="s">
        <v>62</v>
      </c>
      <c r="F45" s="2" t="s">
        <v>140</v>
      </c>
      <c r="G45" s="2" t="s">
        <v>200</v>
      </c>
      <c r="H45" s="2" t="s">
        <v>141</v>
      </c>
      <c r="I45" s="2">
        <v>31064</v>
      </c>
      <c r="J45" t="str">
        <f t="shared" si="0"/>
        <v>Keep</v>
      </c>
      <c r="K45" t="str">
        <f t="shared" si="1"/>
        <v>mukesh.sharma@yahoo.com</v>
      </c>
      <c r="L45" t="str">
        <f t="shared" si="2"/>
        <v>Management</v>
      </c>
      <c r="M45" t="str">
        <f t="shared" si="4"/>
        <v>789 37th St, Chennai, Tamil Nadu, India</v>
      </c>
    </row>
    <row r="46" spans="1:13" x14ac:dyDescent="0.3">
      <c r="A46" s="2">
        <v>45</v>
      </c>
      <c r="B46" s="2" t="s">
        <v>142</v>
      </c>
      <c r="C46" s="2">
        <v>31</v>
      </c>
      <c r="D46" s="2" t="s">
        <v>10</v>
      </c>
      <c r="E46" s="2" t="s">
        <v>66</v>
      </c>
      <c r="F46" s="2" t="s">
        <v>143</v>
      </c>
      <c r="G46" s="2" t="s">
        <v>201</v>
      </c>
      <c r="H46" s="2"/>
      <c r="I46" s="2">
        <v>3108</v>
      </c>
      <c r="J46" t="str">
        <f t="shared" si="0"/>
        <v>Keep</v>
      </c>
      <c r="K46" t="str">
        <f t="shared" si="1"/>
        <v>arjun.singh@gmail.com</v>
      </c>
      <c r="L46" t="str">
        <f t="shared" si="2"/>
        <v>Data Science</v>
      </c>
      <c r="M46" t="str">
        <f t="shared" si="4"/>
        <v>Address not Available</v>
      </c>
    </row>
    <row r="47" spans="1:13" x14ac:dyDescent="0.3">
      <c r="A47" s="2">
        <v>46</v>
      </c>
      <c r="B47" s="2" t="s">
        <v>144</v>
      </c>
      <c r="C47" s="2">
        <v>27</v>
      </c>
      <c r="D47" s="2" t="s">
        <v>16</v>
      </c>
      <c r="E47" s="2" t="s">
        <v>120</v>
      </c>
      <c r="F47" s="2" t="s">
        <v>145</v>
      </c>
      <c r="G47" s="2" t="s">
        <v>202</v>
      </c>
      <c r="H47" s="2" t="s">
        <v>146</v>
      </c>
      <c r="I47" s="2">
        <v>20205</v>
      </c>
      <c r="J47" t="str">
        <f t="shared" si="0"/>
        <v>Keep</v>
      </c>
      <c r="K47" t="str">
        <f t="shared" si="1"/>
        <v>divya.patel@yahoo.com</v>
      </c>
      <c r="L47" t="str">
        <f t="shared" si="2"/>
        <v>Hr</v>
      </c>
      <c r="M47" t="str">
        <f t="shared" si="4"/>
        <v>567 38th St, Hyderabad, Telangana, India</v>
      </c>
    </row>
    <row r="48" spans="1:13" x14ac:dyDescent="0.3">
      <c r="A48" s="2">
        <v>47</v>
      </c>
      <c r="B48" s="2"/>
      <c r="C48" s="2">
        <v>29</v>
      </c>
      <c r="D48" s="2" t="s">
        <v>10</v>
      </c>
      <c r="E48" s="2" t="s">
        <v>124</v>
      </c>
      <c r="F48" s="2" t="s">
        <v>147</v>
      </c>
      <c r="G48" s="2" t="s">
        <v>203</v>
      </c>
      <c r="H48" s="2" t="s">
        <v>148</v>
      </c>
      <c r="I48" s="2">
        <v>8746</v>
      </c>
      <c r="J48" t="str">
        <f t="shared" si="0"/>
        <v>Keep</v>
      </c>
      <c r="K48" t="str">
        <f t="shared" si="1"/>
        <v>gaurav.kumar@gmail.com</v>
      </c>
      <c r="L48" t="str">
        <f t="shared" si="2"/>
        <v>Hr</v>
      </c>
      <c r="M48" t="str">
        <f t="shared" si="4"/>
        <v>234 39th St, Pune, Maharashtra, India</v>
      </c>
    </row>
    <row r="49" spans="1:13" x14ac:dyDescent="0.3">
      <c r="A49" s="2">
        <v>48</v>
      </c>
      <c r="B49" s="2" t="s">
        <v>149</v>
      </c>
      <c r="C49" s="2">
        <v>32</v>
      </c>
      <c r="D49" s="2" t="s">
        <v>16</v>
      </c>
      <c r="E49" s="2" t="s">
        <v>22</v>
      </c>
      <c r="F49" s="2" t="s">
        <v>150</v>
      </c>
      <c r="G49" s="2" t="s">
        <v>204</v>
      </c>
      <c r="H49" s="2" t="s">
        <v>151</v>
      </c>
      <c r="I49" s="2">
        <v>15531</v>
      </c>
      <c r="J49" t="str">
        <f t="shared" si="0"/>
        <v>Keep</v>
      </c>
      <c r="K49" t="str">
        <f t="shared" si="1"/>
        <v>aditi.shah@hotmail.com</v>
      </c>
      <c r="L49" t="str">
        <f t="shared" si="2"/>
        <v>It Devlopement</v>
      </c>
      <c r="M49" t="str">
        <f t="shared" si="4"/>
        <v>901 40th St, Ahmedabad, Gujarat, India</v>
      </c>
    </row>
    <row r="50" spans="1:13" x14ac:dyDescent="0.3">
      <c r="A50" s="2">
        <v>49</v>
      </c>
      <c r="B50" s="2" t="s">
        <v>152</v>
      </c>
      <c r="C50" s="2"/>
      <c r="D50" s="2" t="s">
        <v>10</v>
      </c>
      <c r="E50" s="2" t="s">
        <v>27</v>
      </c>
      <c r="F50" s="2" t="s">
        <v>153</v>
      </c>
      <c r="G50" s="2" t="s">
        <v>205</v>
      </c>
      <c r="H50" s="2" t="s">
        <v>154</v>
      </c>
      <c r="I50" s="2">
        <v>23055</v>
      </c>
      <c r="J50" t="str">
        <f t="shared" si="0"/>
        <v>Keep</v>
      </c>
      <c r="K50" t="str">
        <f t="shared" si="1"/>
        <v>sandeep.singh@yahoo.com</v>
      </c>
      <c r="L50" t="str">
        <f t="shared" si="2"/>
        <v>Sales</v>
      </c>
      <c r="M50" t="str">
        <f t="shared" si="4"/>
        <v>321 41st St, Bangalore, Karnataka, India</v>
      </c>
    </row>
    <row r="51" spans="1:13" x14ac:dyDescent="0.3">
      <c r="A51" s="2">
        <v>50</v>
      </c>
      <c r="B51" s="2" t="s">
        <v>155</v>
      </c>
      <c r="C51" s="2">
        <v>30</v>
      </c>
      <c r="D51" s="2" t="s">
        <v>16</v>
      </c>
      <c r="E51" s="2" t="s">
        <v>31</v>
      </c>
      <c r="F51" s="2" t="s">
        <v>156</v>
      </c>
      <c r="G51" s="2" t="s">
        <v>206</v>
      </c>
      <c r="H51" s="2" t="s">
        <v>157</v>
      </c>
      <c r="I51" s="2">
        <v>18647</v>
      </c>
      <c r="J51" t="str">
        <f t="shared" si="0"/>
        <v>Keep</v>
      </c>
      <c r="K51" t="str">
        <f t="shared" si="1"/>
        <v>shalini.sharma@gmail.com</v>
      </c>
      <c r="L51" t="str">
        <f t="shared" si="2"/>
        <v>Sales</v>
      </c>
      <c r="M51" t="str">
        <f t="shared" si="4"/>
        <v>789 42nd St, Mumbai, Maharashtra, India</v>
      </c>
    </row>
  </sheetData>
  <phoneticPr fontId="4" type="noConversion"/>
  <conditionalFormatting sqref="A1:J51">
    <cfRule type="expression" priority="2">
      <formula>I1&gt;=LARGE($I$2:$I$51,10)</formula>
    </cfRule>
    <cfRule type="expression" priority="3">
      <formula>I1&gt;=LARGE($I$2:$I$51,10)</formula>
    </cfRule>
  </conditionalFormatting>
  <conditionalFormatting sqref="I1:I51">
    <cfRule type="expression" dxfId="4" priority="1">
      <formula>I2&gt;=LARGE($I$2:$I$51,10)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Unmessenger</vt:lpstr>
      <vt:lpstr>1.FillMissingNames (2)</vt:lpstr>
      <vt:lpstr>2.FillAgeWithMean</vt:lpstr>
      <vt:lpstr>3.CleanAndFormatPhone (2)</vt:lpstr>
      <vt:lpstr>4.NameAndEmailMissing</vt:lpstr>
      <vt:lpstr>5.Top10Emp</vt:lpstr>
      <vt:lpstr>6.FillEmail</vt:lpstr>
      <vt:lpstr>7.ProperDepartment</vt:lpstr>
      <vt:lpstr>8.FillAdress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Deepa CHOWDHARI</cp:lastModifiedBy>
  <dcterms:created xsi:type="dcterms:W3CDTF">2023-04-26T07:21:03Z</dcterms:created>
  <dcterms:modified xsi:type="dcterms:W3CDTF">2024-02-09T15:52:49Z</dcterms:modified>
</cp:coreProperties>
</file>